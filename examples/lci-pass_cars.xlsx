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romain/GitHub/trails/examples/"/>
    </mc:Choice>
  </mc:AlternateContent>
  <xr:revisionPtr revIDLastSave="0" documentId="13_ncr:1_{DBA29452-3ABD-364A-969E-D81A503C4379}" xr6:coauthVersionLast="47" xr6:coauthVersionMax="47" xr10:uidLastSave="{00000000-0000-0000-0000-000000000000}"/>
  <bookViews>
    <workbookView xWindow="36780" yWindow="520" windowWidth="25800" windowHeight="18880" xr2:uid="{00000000-000D-0000-FFFF-FFFF00000000}"/>
  </bookViews>
  <sheets>
    <sheet name="passenger cars" sheetId="1" r:id="rId1"/>
    <sheet name="biomass" sheetId="2" r:id="rId2"/>
    <sheet name="dac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E22" i="1"/>
  <c r="D22" i="1"/>
  <c r="F21" i="1"/>
  <c r="F23" i="1" s="1"/>
  <c r="F20" i="1"/>
  <c r="E21" i="1"/>
  <c r="E23" i="1" s="1"/>
  <c r="D21" i="1"/>
  <c r="D23" i="1" s="1"/>
  <c r="E20" i="1"/>
  <c r="D20" i="1"/>
  <c r="C21" i="1"/>
  <c r="C23" i="1" s="1"/>
  <c r="C20" i="1"/>
  <c r="C22" i="1" s="1"/>
  <c r="P21" i="1"/>
  <c r="O21" i="1"/>
  <c r="P20" i="1"/>
  <c r="O20" i="1"/>
  <c r="P23" i="1"/>
  <c r="O23" i="1"/>
  <c r="M82" i="1"/>
  <c r="M81" i="1"/>
  <c r="O82" i="1"/>
  <c r="O81" i="1"/>
  <c r="P79" i="1"/>
  <c r="O79" i="1"/>
  <c r="P78" i="1"/>
  <c r="O78" i="1"/>
  <c r="P77" i="1"/>
  <c r="O77" i="1"/>
  <c r="P76" i="1"/>
  <c r="O76" i="1"/>
  <c r="P75" i="1"/>
  <c r="O75" i="1"/>
  <c r="M24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22" i="1"/>
  <c r="O22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19" i="1"/>
  <c r="O19" i="1"/>
  <c r="P18" i="1"/>
  <c r="O18" i="1"/>
  <c r="P16" i="1"/>
  <c r="O16" i="1"/>
  <c r="P15" i="1"/>
  <c r="O15" i="1"/>
  <c r="P14" i="1"/>
  <c r="O14" i="1"/>
  <c r="B66" i="1" l="1"/>
  <c r="B65" i="1"/>
  <c r="B64" i="1"/>
  <c r="B63" i="1"/>
  <c r="B6" i="1"/>
  <c r="B5" i="1"/>
  <c r="B4" i="1"/>
  <c r="B3" i="1"/>
</calcChain>
</file>

<file path=xl/sharedStrings.xml><?xml version="1.0" encoding="utf-8"?>
<sst xmlns="http://schemas.openxmlformats.org/spreadsheetml/2006/main" count="319" uniqueCount="110">
  <si>
    <t>Database</t>
  </si>
  <si>
    <t>Activity</t>
  </si>
  <si>
    <t>location</t>
  </si>
  <si>
    <t>GLO</t>
  </si>
  <si>
    <t>reference product</t>
  </si>
  <si>
    <t>type</t>
  </si>
  <si>
    <t>unit</t>
  </si>
  <si>
    <t>comment</t>
  </si>
  <si>
    <t>Exchanges</t>
  </si>
  <si>
    <t>name</t>
  </si>
  <si>
    <t>amount</t>
  </si>
  <si>
    <t>categories</t>
  </si>
  <si>
    <t>production</t>
  </si>
  <si>
    <t>kilogram</t>
  </si>
  <si>
    <t>technosphere</t>
  </si>
  <si>
    <t>RoW</t>
  </si>
  <si>
    <t>RER</t>
  </si>
  <si>
    <t>market group for electricity, low voltage</t>
  </si>
  <si>
    <t>kilowatt hour</t>
  </si>
  <si>
    <t>electricity, low voltage</t>
  </si>
  <si>
    <t>kilometer</t>
  </si>
  <si>
    <t>biosphere</t>
  </si>
  <si>
    <t>air::urban air close to ground</t>
  </si>
  <si>
    <t>Acetaldehyde</t>
  </si>
  <si>
    <t>Acetone</t>
  </si>
  <si>
    <t>Acrolein</t>
  </si>
  <si>
    <t>Ammonia</t>
  </si>
  <si>
    <t>Benzaldehyde</t>
  </si>
  <si>
    <t>Benzene</t>
  </si>
  <si>
    <t>Butane</t>
  </si>
  <si>
    <t>Carbon dioxide, fossil</t>
  </si>
  <si>
    <t>Carbon monoxide, fossil</t>
  </si>
  <si>
    <t>Chromium VI</t>
  </si>
  <si>
    <t>Dinitrogen monoxide</t>
  </si>
  <si>
    <t>Ethane</t>
  </si>
  <si>
    <t>Formaldehyde</t>
  </si>
  <si>
    <t>Heptane</t>
  </si>
  <si>
    <t>Methane, fossil</t>
  </si>
  <si>
    <t>Methyl ethyl ketone</t>
  </si>
  <si>
    <t>Nitrogen oxides</t>
  </si>
  <si>
    <t>PAH, polycyclic aromatic hydrocarbons</t>
  </si>
  <si>
    <t>Pentane</t>
  </si>
  <si>
    <t>Propane</t>
  </si>
  <si>
    <t>Styrene</t>
  </si>
  <si>
    <t>Sulfur dioxide</t>
  </si>
  <si>
    <t>Toluene</t>
  </si>
  <si>
    <t>m-Xylene</t>
  </si>
  <si>
    <t>maintenance, passenger car</t>
  </si>
  <si>
    <t>passenger car maintenance</t>
  </si>
  <si>
    <t>market for brake wear emissions, passenger car</t>
  </si>
  <si>
    <t>brake wear emissions, passenger car</t>
  </si>
  <si>
    <t>meter-year</t>
  </si>
  <si>
    <t>road</t>
  </si>
  <si>
    <t>market for road maintenance</t>
  </si>
  <si>
    <t>road maintenance</t>
  </si>
  <si>
    <t>market for road wear emissions, passenger car</t>
  </si>
  <si>
    <t>road wear emissions, passenger car</t>
  </si>
  <si>
    <t>market for tyre wear emissions, passenger car</t>
  </si>
  <si>
    <t>tyre wear emissions, passenger car</t>
  </si>
  <si>
    <t>o-Xylene</t>
  </si>
  <si>
    <t>diesel, low-sulfur</t>
  </si>
  <si>
    <t>NMVOC, non-methane volatile organic compounds</t>
  </si>
  <si>
    <t>Nickel II</t>
  </si>
  <si>
    <t>Chromium III</t>
  </si>
  <si>
    <t>Copper ion</t>
  </si>
  <si>
    <t>Lead II</t>
  </si>
  <si>
    <t>Ethylene oxide</t>
  </si>
  <si>
    <t>Selenium IV</t>
  </si>
  <si>
    <t>Cadmium II</t>
  </si>
  <si>
    <t>Hydrocarbons, aliphatic, alkanes, cyclic</t>
  </si>
  <si>
    <t>Mercury II</t>
  </si>
  <si>
    <t>Propylene oxide</t>
  </si>
  <si>
    <t>Particulate Matter, &lt; 2.5 um</t>
  </si>
  <si>
    <t>Zinc II</t>
  </si>
  <si>
    <t>passenger car, diesel</t>
  </si>
  <si>
    <t>market for used Li-ion battery</t>
  </si>
  <si>
    <t>used Li-ion battery</t>
  </si>
  <si>
    <t>market for maintenance, passenger car, electric, without battery</t>
  </si>
  <si>
    <t>maintenance, passenger car, electric, without battery</t>
  </si>
  <si>
    <t>passenger car, electric, without battery</t>
  </si>
  <si>
    <t>market for battery, Li-ion, LiMn2O4, rechargeable</t>
  </si>
  <si>
    <t>battery, Li-ion, LiMn2O4, rechargeable</t>
  </si>
  <si>
    <t>transport, passenger, car, diesel</t>
  </si>
  <si>
    <t>transport, passenger, car, battery electric</t>
  </si>
  <si>
    <t>transport, passenger, car</t>
  </si>
  <si>
    <t>temporal_distribution</t>
  </si>
  <si>
    <t>temporal_loc</t>
  </si>
  <si>
    <t>temporal_scale</t>
  </si>
  <si>
    <t>temporal_min</t>
  </si>
  <si>
    <t>temporal_max</t>
  </si>
  <si>
    <t>temporal_amount_source</t>
  </si>
  <si>
    <t>lifetime [km]</t>
  </si>
  <si>
    <t>lifetime [year]</t>
  </si>
  <si>
    <t>average age [year]</t>
  </si>
  <si>
    <t>passenger car production, diesel</t>
  </si>
  <si>
    <t>passenger car production, electric, without battery</t>
  </si>
  <si>
    <t>road construction</t>
  </si>
  <si>
    <t>Occurs uniformly over the vehicle's use phase.</t>
  </si>
  <si>
    <t>The road has been continuously built between 40 years ago and last year.</t>
  </si>
  <si>
    <t>The car is being continuously maintained over the use phase.</t>
  </si>
  <si>
    <t>The road undergoes maintenance uniformaly over the use phase.</t>
  </si>
  <si>
    <t>lci-trails</t>
  </si>
  <si>
    <t>Example activitiy to test the import function of trails.</t>
  </si>
  <si>
    <t>Carbon dioxide, non-fossil</t>
  </si>
  <si>
    <t>diesel production, low-sulfur, petroleum refinery operation</t>
  </si>
  <si>
    <t>Europe without Switzerland</t>
  </si>
  <si>
    <t>esterification of rape oil</t>
  </si>
  <si>
    <t>fatty acid methyl ester</t>
  </si>
  <si>
    <t>matrix</t>
  </si>
  <si>
    <t>Here, the matrix-stored value is used, instead of porting the value and distirbuting it over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</si>
</sst>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"/>
  <sheetViews>
    <sheetView tabSelected="1" topLeftCell="C1" workbookViewId="0">
      <selection activeCell="R24" sqref="R24"/>
    </sheetView>
  </sheetViews>
  <sheetFormatPr baseColWidth="10" defaultColWidth="8.83203125" defaultRowHeight="15" x14ac:dyDescent="0.2"/>
  <cols>
    <col min="1" max="1" width="49.83203125" customWidth="1"/>
    <col min="2" max="2" width="30.1640625" customWidth="1"/>
    <col min="3" max="4" width="6.1640625" bestFit="1" customWidth="1"/>
    <col min="5" max="5" width="9.6640625" bestFit="1" customWidth="1"/>
    <col min="6" max="6" width="6.1640625" bestFit="1" customWidth="1"/>
    <col min="8" max="8" width="11.5" customWidth="1"/>
    <col min="11" max="11" width="26.5" customWidth="1"/>
    <col min="12" max="12" width="18.5" bestFit="1" customWidth="1"/>
    <col min="13" max="13" width="11.5" bestFit="1" customWidth="1"/>
    <col min="14" max="14" width="13" bestFit="1" customWidth="1"/>
    <col min="15" max="15" width="12.1640625" bestFit="1" customWidth="1"/>
    <col min="16" max="16" width="12.33203125" bestFit="1" customWidth="1"/>
    <col min="17" max="17" width="21.5" bestFit="1" customWidth="1"/>
  </cols>
  <sheetData>
    <row r="1" spans="1:18" x14ac:dyDescent="0.2">
      <c r="A1" s="1" t="s">
        <v>0</v>
      </c>
      <c r="B1" t="s">
        <v>101</v>
      </c>
    </row>
    <row r="3" spans="1:18" s="1" customFormat="1" x14ac:dyDescent="0.2">
      <c r="A3" s="1" t="s">
        <v>1</v>
      </c>
      <c r="B3" s="1" t="str">
        <f>A13</f>
        <v>transport, passenger, car, diesel</v>
      </c>
    </row>
    <row r="4" spans="1:18" x14ac:dyDescent="0.2">
      <c r="A4" t="s">
        <v>4</v>
      </c>
      <c r="B4" t="str">
        <f>K13</f>
        <v>transport, passenger, car</v>
      </c>
    </row>
    <row r="5" spans="1:18" x14ac:dyDescent="0.2">
      <c r="A5" t="s">
        <v>2</v>
      </c>
      <c r="B5" t="str">
        <f>G13</f>
        <v>RER</v>
      </c>
    </row>
    <row r="6" spans="1:18" x14ac:dyDescent="0.2">
      <c r="A6" t="s">
        <v>6</v>
      </c>
      <c r="B6" t="str">
        <f>I13</f>
        <v>kilometer</v>
      </c>
    </row>
    <row r="7" spans="1:18" x14ac:dyDescent="0.2">
      <c r="A7" t="s">
        <v>91</v>
      </c>
      <c r="B7">
        <v>150000</v>
      </c>
    </row>
    <row r="8" spans="1:18" x14ac:dyDescent="0.2">
      <c r="A8" t="s">
        <v>92</v>
      </c>
      <c r="B8">
        <v>16</v>
      </c>
    </row>
    <row r="9" spans="1:18" x14ac:dyDescent="0.2">
      <c r="A9" t="s">
        <v>93</v>
      </c>
      <c r="B9">
        <v>8</v>
      </c>
    </row>
    <row r="10" spans="1:18" x14ac:dyDescent="0.2">
      <c r="A10" t="s">
        <v>7</v>
      </c>
      <c r="B10" t="s">
        <v>102</v>
      </c>
    </row>
    <row r="11" spans="1:18" x14ac:dyDescent="0.2">
      <c r="A11" s="1" t="s">
        <v>8</v>
      </c>
    </row>
    <row r="12" spans="1:18" s="1" customFormat="1" x14ac:dyDescent="0.2">
      <c r="A12" s="1" t="s">
        <v>9</v>
      </c>
      <c r="B12" s="1" t="s">
        <v>10</v>
      </c>
      <c r="C12" s="1">
        <v>2020</v>
      </c>
      <c r="D12" s="1">
        <v>2040</v>
      </c>
      <c r="E12" s="1">
        <v>2060</v>
      </c>
      <c r="F12" s="1">
        <v>2080</v>
      </c>
      <c r="G12" s="1" t="s">
        <v>2</v>
      </c>
      <c r="H12" s="1" t="s">
        <v>11</v>
      </c>
      <c r="I12" s="1" t="s">
        <v>6</v>
      </c>
      <c r="J12" s="1" t="s">
        <v>5</v>
      </c>
      <c r="K12" s="1" t="s">
        <v>4</v>
      </c>
      <c r="L12" s="1" t="s">
        <v>85</v>
      </c>
      <c r="M12" s="1" t="s">
        <v>86</v>
      </c>
      <c r="N12" s="1" t="s">
        <v>87</v>
      </c>
      <c r="O12" s="1" t="s">
        <v>88</v>
      </c>
      <c r="P12" s="1" t="s">
        <v>89</v>
      </c>
      <c r="Q12" s="1" t="s">
        <v>90</v>
      </c>
      <c r="R12" s="1" t="s">
        <v>7</v>
      </c>
    </row>
    <row r="13" spans="1:18" x14ac:dyDescent="0.2">
      <c r="A13" t="s">
        <v>82</v>
      </c>
      <c r="B13">
        <v>1</v>
      </c>
      <c r="G13" t="s">
        <v>16</v>
      </c>
      <c r="I13" t="s">
        <v>20</v>
      </c>
      <c r="J13" t="s">
        <v>12</v>
      </c>
      <c r="K13" t="s">
        <v>84</v>
      </c>
    </row>
    <row r="14" spans="1:18" x14ac:dyDescent="0.2">
      <c r="A14" t="s">
        <v>49</v>
      </c>
      <c r="B14" s="2">
        <v>-1.3998809999999999</v>
      </c>
      <c r="C14" s="2"/>
      <c r="D14" s="2"/>
      <c r="E14" s="2"/>
      <c r="F14" s="2"/>
      <c r="G14" t="s">
        <v>3</v>
      </c>
      <c r="I14" t="s">
        <v>13</v>
      </c>
      <c r="J14" t="s">
        <v>14</v>
      </c>
      <c r="K14" t="s">
        <v>50</v>
      </c>
      <c r="L14">
        <v>4</v>
      </c>
      <c r="M14">
        <v>0</v>
      </c>
      <c r="O14">
        <f>$B$9-$B$8</f>
        <v>-8</v>
      </c>
      <c r="P14">
        <f>$B$8-$B$9</f>
        <v>8</v>
      </c>
      <c r="R14" t="s">
        <v>97</v>
      </c>
    </row>
    <row r="15" spans="1:18" x14ac:dyDescent="0.2">
      <c r="A15" t="s">
        <v>55</v>
      </c>
      <c r="B15" s="2">
        <v>-3.0797382</v>
      </c>
      <c r="C15" s="2"/>
      <c r="D15" s="2"/>
      <c r="E15" s="2"/>
      <c r="F15" s="2"/>
      <c r="G15" t="s">
        <v>3</v>
      </c>
      <c r="I15" t="s">
        <v>13</v>
      </c>
      <c r="J15" t="s">
        <v>14</v>
      </c>
      <c r="K15" t="s">
        <v>56</v>
      </c>
      <c r="L15">
        <v>4</v>
      </c>
      <c r="M15">
        <v>0</v>
      </c>
      <c r="O15">
        <f>$B$9-$B$8</f>
        <v>-8</v>
      </c>
      <c r="P15">
        <f>$B$8-$B$9</f>
        <v>8</v>
      </c>
      <c r="R15" t="s">
        <v>97</v>
      </c>
    </row>
    <row r="16" spans="1:18" x14ac:dyDescent="0.2">
      <c r="A16" t="s">
        <v>57</v>
      </c>
      <c r="B16" s="2">
        <v>-18.009705</v>
      </c>
      <c r="C16" s="2"/>
      <c r="D16" s="2"/>
      <c r="E16" s="2"/>
      <c r="F16" s="2"/>
      <c r="G16" t="s">
        <v>3</v>
      </c>
      <c r="I16" t="s">
        <v>13</v>
      </c>
      <c r="J16" t="s">
        <v>14</v>
      </c>
      <c r="K16" t="s">
        <v>58</v>
      </c>
      <c r="L16">
        <v>4</v>
      </c>
      <c r="M16">
        <v>0</v>
      </c>
      <c r="O16">
        <f>$B$9-$B$8</f>
        <v>-8</v>
      </c>
      <c r="P16">
        <f>$B$8-$B$9</f>
        <v>8</v>
      </c>
      <c r="R16" t="s">
        <v>97</v>
      </c>
    </row>
    <row r="17" spans="1:18" x14ac:dyDescent="0.2">
      <c r="A17" t="s">
        <v>96</v>
      </c>
      <c r="B17" s="2">
        <v>168.92946000000001</v>
      </c>
      <c r="C17" s="2"/>
      <c r="D17" s="2"/>
      <c r="E17" s="2"/>
      <c r="F17" s="2"/>
      <c r="G17" t="s">
        <v>15</v>
      </c>
      <c r="I17" t="s">
        <v>51</v>
      </c>
      <c r="J17" t="s">
        <v>14</v>
      </c>
      <c r="K17" t="s">
        <v>52</v>
      </c>
      <c r="L17">
        <v>4</v>
      </c>
      <c r="M17">
        <v>-20</v>
      </c>
      <c r="O17">
        <v>-40</v>
      </c>
      <c r="P17">
        <v>-1</v>
      </c>
      <c r="R17" t="s">
        <v>98</v>
      </c>
    </row>
    <row r="18" spans="1:18" x14ac:dyDescent="0.2">
      <c r="A18" t="s">
        <v>47</v>
      </c>
      <c r="B18" s="2">
        <v>1.61290322580645</v>
      </c>
      <c r="C18" s="2"/>
      <c r="D18" s="2"/>
      <c r="E18" s="2"/>
      <c r="F18" s="2"/>
      <c r="G18" t="s">
        <v>16</v>
      </c>
      <c r="I18" t="s">
        <v>6</v>
      </c>
      <c r="J18" t="s">
        <v>14</v>
      </c>
      <c r="K18" t="s">
        <v>48</v>
      </c>
      <c r="L18">
        <v>4</v>
      </c>
      <c r="M18">
        <v>0</v>
      </c>
      <c r="O18">
        <f>$B$9-$B$8</f>
        <v>-8</v>
      </c>
      <c r="P18">
        <f>$B$8-$B$9</f>
        <v>8</v>
      </c>
      <c r="R18" t="s">
        <v>99</v>
      </c>
    </row>
    <row r="19" spans="1:18" x14ac:dyDescent="0.2">
      <c r="A19" t="s">
        <v>53</v>
      </c>
      <c r="B19" s="2">
        <v>39.814067975319894</v>
      </c>
      <c r="C19" s="2"/>
      <c r="D19" s="2"/>
      <c r="E19" s="2"/>
      <c r="F19" s="2"/>
      <c r="G19" t="s">
        <v>16</v>
      </c>
      <c r="I19" t="s">
        <v>51</v>
      </c>
      <c r="J19" t="s">
        <v>14</v>
      </c>
      <c r="K19" t="s">
        <v>54</v>
      </c>
      <c r="L19">
        <v>4</v>
      </c>
      <c r="M19">
        <v>0</v>
      </c>
      <c r="O19">
        <f>$B$9-$B$8</f>
        <v>-8</v>
      </c>
      <c r="P19">
        <f>$B$8-$B$9</f>
        <v>8</v>
      </c>
      <c r="R19" t="s">
        <v>100</v>
      </c>
    </row>
    <row r="20" spans="1:18" x14ac:dyDescent="0.2">
      <c r="A20" t="s">
        <v>104</v>
      </c>
      <c r="B20" s="2">
        <v>10447</v>
      </c>
      <c r="C20" s="3">
        <f>10447.194*1</f>
        <v>10447.194</v>
      </c>
      <c r="D20" s="3">
        <f>10447.194*0.8</f>
        <v>8357.7551999999996</v>
      </c>
      <c r="E20" s="3">
        <f>10447.194*0.6</f>
        <v>6268.3163999999997</v>
      </c>
      <c r="F20" s="3">
        <f>10447.194*0</f>
        <v>0</v>
      </c>
      <c r="G20" t="s">
        <v>105</v>
      </c>
      <c r="I20" t="s">
        <v>13</v>
      </c>
      <c r="J20" t="s">
        <v>14</v>
      </c>
      <c r="K20" t="s">
        <v>60</v>
      </c>
      <c r="L20">
        <v>4</v>
      </c>
      <c r="M20">
        <v>0</v>
      </c>
      <c r="O20">
        <f>$B$9-$B$8</f>
        <v>-8</v>
      </c>
      <c r="P20">
        <f>$B$8-$B$9</f>
        <v>8</v>
      </c>
      <c r="Q20" t="s">
        <v>108</v>
      </c>
      <c r="R20" t="s">
        <v>109</v>
      </c>
    </row>
    <row r="21" spans="1:18" x14ac:dyDescent="0.2">
      <c r="A21" t="s">
        <v>106</v>
      </c>
      <c r="B21" s="2">
        <v>0</v>
      </c>
      <c r="C21" s="3">
        <f>10447.194*0</f>
        <v>0</v>
      </c>
      <c r="D21" s="3">
        <f>10447.194*0.2</f>
        <v>2089.4387999999999</v>
      </c>
      <c r="E21" s="3">
        <f>10447.194*0.4</f>
        <v>4178.8775999999998</v>
      </c>
      <c r="F21" s="3">
        <f>10447.194*1</f>
        <v>10447.194</v>
      </c>
      <c r="G21" t="s">
        <v>105</v>
      </c>
      <c r="I21" t="s">
        <v>13</v>
      </c>
      <c r="J21" t="s">
        <v>14</v>
      </c>
      <c r="K21" t="s">
        <v>107</v>
      </c>
      <c r="L21">
        <v>4</v>
      </c>
      <c r="M21">
        <v>0</v>
      </c>
      <c r="O21">
        <f>$B$9-$B$8</f>
        <v>-8</v>
      </c>
      <c r="P21">
        <f>$B$8-$B$9</f>
        <v>8</v>
      </c>
      <c r="Q21" t="s">
        <v>108</v>
      </c>
      <c r="R21" t="s">
        <v>109</v>
      </c>
    </row>
    <row r="22" spans="1:18" x14ac:dyDescent="0.2">
      <c r="A22" t="s">
        <v>30</v>
      </c>
      <c r="B22" s="2">
        <v>32909</v>
      </c>
      <c r="C22" s="3">
        <f>C20*3.15</f>
        <v>32908.661099999998</v>
      </c>
      <c r="D22" s="3">
        <f>D20*3.15</f>
        <v>26326.928879999999</v>
      </c>
      <c r="E22" s="3">
        <f>E20*3.15</f>
        <v>19745.196659999998</v>
      </c>
      <c r="F22" s="3">
        <f>F20*3.15</f>
        <v>0</v>
      </c>
      <c r="H22" t="s">
        <v>22</v>
      </c>
      <c r="I22" t="s">
        <v>13</v>
      </c>
      <c r="J22" t="s">
        <v>21</v>
      </c>
      <c r="L22">
        <v>4</v>
      </c>
      <c r="M22">
        <v>0</v>
      </c>
      <c r="O22">
        <f t="shared" ref="O22:O61" si="0">$B$9-$B$8</f>
        <v>-8</v>
      </c>
      <c r="P22">
        <f t="shared" ref="P22:P61" si="1">$B$8-$B$9</f>
        <v>8</v>
      </c>
      <c r="Q22" t="s">
        <v>108</v>
      </c>
      <c r="R22" t="s">
        <v>109</v>
      </c>
    </row>
    <row r="23" spans="1:18" x14ac:dyDescent="0.2">
      <c r="A23" t="s">
        <v>103</v>
      </c>
      <c r="B23" s="2">
        <v>0</v>
      </c>
      <c r="C23" s="3">
        <f>C21*3.15</f>
        <v>0</v>
      </c>
      <c r="D23" s="3">
        <f>D21*3.15</f>
        <v>6581.7322199999999</v>
      </c>
      <c r="E23" s="3">
        <f>E21*3.15</f>
        <v>13163.46444</v>
      </c>
      <c r="F23" s="3">
        <f>F21*3.15</f>
        <v>32908.661099999998</v>
      </c>
      <c r="H23" t="s">
        <v>22</v>
      </c>
      <c r="I23" t="s">
        <v>13</v>
      </c>
      <c r="J23" t="s">
        <v>21</v>
      </c>
      <c r="L23">
        <v>4</v>
      </c>
      <c r="M23">
        <v>0</v>
      </c>
      <c r="O23">
        <f t="shared" si="0"/>
        <v>-8</v>
      </c>
      <c r="P23">
        <f t="shared" si="1"/>
        <v>8</v>
      </c>
      <c r="Q23" t="s">
        <v>108</v>
      </c>
      <c r="R23" t="s">
        <v>109</v>
      </c>
    </row>
    <row r="24" spans="1:18" x14ac:dyDescent="0.2">
      <c r="A24" t="s">
        <v>94</v>
      </c>
      <c r="B24" s="2">
        <v>1999.999999999995</v>
      </c>
      <c r="C24" s="2"/>
      <c r="D24" s="2"/>
      <c r="E24" s="2"/>
      <c r="F24" s="2"/>
      <c r="G24" t="s">
        <v>3</v>
      </c>
      <c r="I24" t="s">
        <v>13</v>
      </c>
      <c r="J24" t="s">
        <v>14</v>
      </c>
      <c r="K24" t="s">
        <v>74</v>
      </c>
      <c r="L24">
        <v>5</v>
      </c>
      <c r="M24">
        <f>-1*$B$9</f>
        <v>-8</v>
      </c>
      <c r="N24">
        <v>1</v>
      </c>
      <c r="O24">
        <v>-12</v>
      </c>
      <c r="P24">
        <v>-1</v>
      </c>
    </row>
    <row r="25" spans="1:18" x14ac:dyDescent="0.2">
      <c r="A25" t="s">
        <v>34</v>
      </c>
      <c r="B25" s="2">
        <v>1.6379999999999999E-2</v>
      </c>
      <c r="C25" s="2"/>
      <c r="D25" s="2"/>
      <c r="E25" s="2"/>
      <c r="F25" s="2"/>
      <c r="H25" t="s">
        <v>22</v>
      </c>
      <c r="I25" t="s">
        <v>13</v>
      </c>
      <c r="J25" t="s">
        <v>21</v>
      </c>
      <c r="L25">
        <v>4</v>
      </c>
      <c r="M25">
        <v>0</v>
      </c>
      <c r="O25">
        <f t="shared" si="0"/>
        <v>-8</v>
      </c>
      <c r="P25">
        <f t="shared" si="1"/>
        <v>8</v>
      </c>
    </row>
    <row r="26" spans="1:18" x14ac:dyDescent="0.2">
      <c r="A26" t="s">
        <v>61</v>
      </c>
      <c r="B26" s="2">
        <v>2.6310000000000002</v>
      </c>
      <c r="C26" s="2"/>
      <c r="D26" s="2"/>
      <c r="E26" s="2"/>
      <c r="F26" s="2"/>
      <c r="H26" t="s">
        <v>22</v>
      </c>
      <c r="I26" t="s">
        <v>13</v>
      </c>
      <c r="J26" t="s">
        <v>21</v>
      </c>
      <c r="L26">
        <v>4</v>
      </c>
      <c r="M26">
        <v>0</v>
      </c>
      <c r="O26">
        <f t="shared" si="0"/>
        <v>-8</v>
      </c>
      <c r="P26">
        <f t="shared" si="1"/>
        <v>8</v>
      </c>
    </row>
    <row r="27" spans="1:18" x14ac:dyDescent="0.2">
      <c r="A27" t="s">
        <v>62</v>
      </c>
      <c r="B27" s="2">
        <v>7.3130358000000006E-4</v>
      </c>
      <c r="C27" s="2"/>
      <c r="D27" s="2"/>
      <c r="E27" s="2"/>
      <c r="F27" s="2"/>
      <c r="H27" t="s">
        <v>22</v>
      </c>
      <c r="I27" t="s">
        <v>13</v>
      </c>
      <c r="J27" t="s">
        <v>21</v>
      </c>
      <c r="L27">
        <v>4</v>
      </c>
      <c r="M27">
        <v>0</v>
      </c>
      <c r="O27">
        <f t="shared" si="0"/>
        <v>-8</v>
      </c>
      <c r="P27">
        <f t="shared" si="1"/>
        <v>8</v>
      </c>
    </row>
    <row r="28" spans="1:18" x14ac:dyDescent="0.2">
      <c r="A28" t="s">
        <v>45</v>
      </c>
      <c r="B28" s="2">
        <v>3.4229999999999997E-2</v>
      </c>
      <c r="C28" s="2"/>
      <c r="D28" s="2"/>
      <c r="E28" s="2"/>
      <c r="F28" s="2"/>
      <c r="H28" t="s">
        <v>22</v>
      </c>
      <c r="I28" t="s">
        <v>13</v>
      </c>
      <c r="J28" t="s">
        <v>21</v>
      </c>
      <c r="L28">
        <v>4</v>
      </c>
      <c r="M28">
        <v>0</v>
      </c>
      <c r="O28">
        <f t="shared" si="0"/>
        <v>-8</v>
      </c>
      <c r="P28">
        <f t="shared" si="1"/>
        <v>8</v>
      </c>
    </row>
    <row r="29" spans="1:18" x14ac:dyDescent="0.2">
      <c r="A29" t="s">
        <v>43</v>
      </c>
      <c r="B29" s="2">
        <v>1.8360000000000001E-2</v>
      </c>
      <c r="C29" s="2"/>
      <c r="D29" s="2"/>
      <c r="E29" s="2"/>
      <c r="F29" s="2"/>
      <c r="H29" t="s">
        <v>22</v>
      </c>
      <c r="I29" t="s">
        <v>13</v>
      </c>
      <c r="J29" t="s">
        <v>21</v>
      </c>
      <c r="L29">
        <v>4</v>
      </c>
      <c r="M29">
        <v>0</v>
      </c>
      <c r="O29">
        <f t="shared" si="0"/>
        <v>-8</v>
      </c>
      <c r="P29">
        <f t="shared" si="1"/>
        <v>8</v>
      </c>
    </row>
    <row r="30" spans="1:18" x14ac:dyDescent="0.2">
      <c r="A30" t="s">
        <v>63</v>
      </c>
      <c r="B30" s="2">
        <v>5.2235970000000004E-4</v>
      </c>
      <c r="C30" s="2"/>
      <c r="D30" s="2"/>
      <c r="E30" s="2"/>
      <c r="F30" s="2"/>
      <c r="H30" t="s">
        <v>22</v>
      </c>
      <c r="I30" t="s">
        <v>13</v>
      </c>
      <c r="J30" t="s">
        <v>21</v>
      </c>
      <c r="L30">
        <v>4</v>
      </c>
      <c r="M30">
        <v>0</v>
      </c>
      <c r="O30">
        <f t="shared" si="0"/>
        <v>-8</v>
      </c>
      <c r="P30">
        <f t="shared" si="1"/>
        <v>8</v>
      </c>
    </row>
    <row r="31" spans="1:18" x14ac:dyDescent="0.2">
      <c r="A31" t="s">
        <v>31</v>
      </c>
      <c r="B31" s="2">
        <v>9.4649999999999999</v>
      </c>
      <c r="C31" s="2"/>
      <c r="D31" s="2"/>
      <c r="E31" s="2"/>
      <c r="F31" s="2"/>
      <c r="H31" t="s">
        <v>22</v>
      </c>
      <c r="I31" t="s">
        <v>13</v>
      </c>
      <c r="J31" t="s">
        <v>21</v>
      </c>
      <c r="L31">
        <v>4</v>
      </c>
      <c r="M31">
        <v>0</v>
      </c>
      <c r="O31">
        <f t="shared" si="0"/>
        <v>-8</v>
      </c>
      <c r="P31">
        <f t="shared" si="1"/>
        <v>8</v>
      </c>
    </row>
    <row r="32" spans="1:18" x14ac:dyDescent="0.2">
      <c r="A32" t="s">
        <v>64</v>
      </c>
      <c r="B32" s="2">
        <v>1.7760229799999999E-2</v>
      </c>
      <c r="C32" s="2"/>
      <c r="D32" s="2"/>
      <c r="E32" s="2"/>
      <c r="F32" s="2"/>
      <c r="H32" t="s">
        <v>22</v>
      </c>
      <c r="I32" t="s">
        <v>13</v>
      </c>
      <c r="J32" t="s">
        <v>21</v>
      </c>
      <c r="L32">
        <v>4</v>
      </c>
      <c r="M32">
        <v>0</v>
      </c>
      <c r="O32">
        <f t="shared" si="0"/>
        <v>-8</v>
      </c>
      <c r="P32">
        <f t="shared" si="1"/>
        <v>8</v>
      </c>
    </row>
    <row r="33" spans="1:16" x14ac:dyDescent="0.2">
      <c r="A33" t="s">
        <v>44</v>
      </c>
      <c r="B33" s="2">
        <v>0.20894388</v>
      </c>
      <c r="C33" s="2"/>
      <c r="D33" s="2"/>
      <c r="E33" s="2"/>
      <c r="F33" s="2"/>
      <c r="H33" t="s">
        <v>22</v>
      </c>
      <c r="I33" t="s">
        <v>13</v>
      </c>
      <c r="J33" t="s">
        <v>21</v>
      </c>
      <c r="L33">
        <v>4</v>
      </c>
      <c r="M33">
        <v>0</v>
      </c>
      <c r="O33">
        <f t="shared" si="0"/>
        <v>-8</v>
      </c>
      <c r="P33">
        <f t="shared" si="1"/>
        <v>8</v>
      </c>
    </row>
    <row r="34" spans="1:16" x14ac:dyDescent="0.2">
      <c r="A34" t="s">
        <v>26</v>
      </c>
      <c r="B34" s="2">
        <v>0.167155104</v>
      </c>
      <c r="C34" s="2"/>
      <c r="D34" s="2"/>
      <c r="E34" s="2"/>
      <c r="F34" s="2"/>
      <c r="H34" t="s">
        <v>22</v>
      </c>
      <c r="I34" t="s">
        <v>13</v>
      </c>
      <c r="J34" t="s">
        <v>21</v>
      </c>
      <c r="L34">
        <v>4</v>
      </c>
      <c r="M34">
        <v>0</v>
      </c>
      <c r="O34">
        <f t="shared" si="0"/>
        <v>-8</v>
      </c>
      <c r="P34">
        <f t="shared" si="1"/>
        <v>8</v>
      </c>
    </row>
    <row r="35" spans="1:16" x14ac:dyDescent="0.2">
      <c r="A35" t="s">
        <v>65</v>
      </c>
      <c r="B35" s="2">
        <v>8.6189350500000001E-10</v>
      </c>
      <c r="C35" s="2"/>
      <c r="D35" s="2"/>
      <c r="E35" s="2"/>
      <c r="F35" s="2"/>
      <c r="H35" t="s">
        <v>22</v>
      </c>
      <c r="I35" t="s">
        <v>13</v>
      </c>
      <c r="J35" t="s">
        <v>21</v>
      </c>
      <c r="L35">
        <v>4</v>
      </c>
      <c r="M35">
        <v>0</v>
      </c>
      <c r="O35">
        <f t="shared" si="0"/>
        <v>-8</v>
      </c>
      <c r="P35">
        <f t="shared" si="1"/>
        <v>8</v>
      </c>
    </row>
    <row r="36" spans="1:16" x14ac:dyDescent="0.2">
      <c r="A36" t="s">
        <v>66</v>
      </c>
      <c r="B36" s="2">
        <v>0.54420000000000002</v>
      </c>
      <c r="C36" s="2"/>
      <c r="D36" s="2"/>
      <c r="E36" s="2"/>
      <c r="F36" s="2"/>
      <c r="H36" t="s">
        <v>22</v>
      </c>
      <c r="I36" t="s">
        <v>13</v>
      </c>
      <c r="J36" t="s">
        <v>21</v>
      </c>
      <c r="L36">
        <v>4</v>
      </c>
      <c r="M36">
        <v>0</v>
      </c>
      <c r="O36">
        <f t="shared" si="0"/>
        <v>-8</v>
      </c>
      <c r="P36">
        <f t="shared" si="1"/>
        <v>8</v>
      </c>
    </row>
    <row r="37" spans="1:16" x14ac:dyDescent="0.2">
      <c r="A37" t="s">
        <v>27</v>
      </c>
      <c r="B37" s="2">
        <v>4.2674999999999998E-2</v>
      </c>
      <c r="C37" s="2"/>
      <c r="D37" s="2"/>
      <c r="E37" s="2"/>
      <c r="F37" s="2"/>
      <c r="H37" t="s">
        <v>22</v>
      </c>
      <c r="I37" t="s">
        <v>13</v>
      </c>
      <c r="J37" t="s">
        <v>21</v>
      </c>
      <c r="L37">
        <v>4</v>
      </c>
      <c r="M37">
        <v>0</v>
      </c>
      <c r="O37">
        <f t="shared" si="0"/>
        <v>-8</v>
      </c>
      <c r="P37">
        <f t="shared" si="1"/>
        <v>8</v>
      </c>
    </row>
    <row r="38" spans="1:16" x14ac:dyDescent="0.2">
      <c r="A38" t="s">
        <v>37</v>
      </c>
      <c r="B38" s="2">
        <v>0.29849999999999999</v>
      </c>
      <c r="C38" s="2"/>
      <c r="D38" s="2"/>
      <c r="E38" s="2"/>
      <c r="F38" s="2"/>
      <c r="H38" t="s">
        <v>22</v>
      </c>
      <c r="I38" t="s">
        <v>13</v>
      </c>
      <c r="J38" t="s">
        <v>21</v>
      </c>
      <c r="L38">
        <v>4</v>
      </c>
      <c r="M38">
        <v>0</v>
      </c>
      <c r="O38">
        <f t="shared" si="0"/>
        <v>-8</v>
      </c>
      <c r="P38">
        <f t="shared" si="1"/>
        <v>8</v>
      </c>
    </row>
    <row r="39" spans="1:16" x14ac:dyDescent="0.2">
      <c r="A39" t="s">
        <v>67</v>
      </c>
      <c r="B39" s="2">
        <v>1.0447194000000001E-4</v>
      </c>
      <c r="C39" s="2"/>
      <c r="D39" s="2"/>
      <c r="E39" s="2"/>
      <c r="F39" s="2"/>
      <c r="H39" t="s">
        <v>22</v>
      </c>
      <c r="I39" t="s">
        <v>13</v>
      </c>
      <c r="J39" t="s">
        <v>21</v>
      </c>
      <c r="L39">
        <v>4</v>
      </c>
      <c r="M39">
        <v>0</v>
      </c>
      <c r="O39">
        <f t="shared" si="0"/>
        <v>-8</v>
      </c>
      <c r="P39">
        <f t="shared" si="1"/>
        <v>8</v>
      </c>
    </row>
    <row r="40" spans="1:16" x14ac:dyDescent="0.2">
      <c r="A40" t="s">
        <v>40</v>
      </c>
      <c r="B40" s="2">
        <v>1.9264625736000001E-3</v>
      </c>
      <c r="C40" s="2"/>
      <c r="D40" s="2"/>
      <c r="E40" s="2"/>
      <c r="F40" s="2"/>
      <c r="H40" t="s">
        <v>22</v>
      </c>
      <c r="I40" t="s">
        <v>13</v>
      </c>
      <c r="J40" t="s">
        <v>21</v>
      </c>
      <c r="L40">
        <v>4</v>
      </c>
      <c r="M40">
        <v>0</v>
      </c>
      <c r="O40">
        <f t="shared" si="0"/>
        <v>-8</v>
      </c>
      <c r="P40">
        <f t="shared" si="1"/>
        <v>8</v>
      </c>
    </row>
    <row r="41" spans="1:16" x14ac:dyDescent="0.2">
      <c r="A41" t="s">
        <v>28</v>
      </c>
      <c r="B41" s="2">
        <v>9.8234999999999989E-2</v>
      </c>
      <c r="C41" s="2"/>
      <c r="D41" s="2"/>
      <c r="E41" s="2"/>
      <c r="F41" s="2"/>
      <c r="H41" t="s">
        <v>22</v>
      </c>
      <c r="I41" t="s">
        <v>13</v>
      </c>
      <c r="J41" t="s">
        <v>21</v>
      </c>
      <c r="L41">
        <v>4</v>
      </c>
      <c r="M41">
        <v>0</v>
      </c>
      <c r="O41">
        <f t="shared" si="0"/>
        <v>-8</v>
      </c>
      <c r="P41">
        <f t="shared" si="1"/>
        <v>8</v>
      </c>
    </row>
    <row r="42" spans="1:16" x14ac:dyDescent="0.2">
      <c r="A42" t="s">
        <v>41</v>
      </c>
      <c r="B42" s="2">
        <v>1.9845000000000002E-3</v>
      </c>
      <c r="C42" s="2"/>
      <c r="D42" s="2"/>
      <c r="E42" s="2"/>
      <c r="F42" s="2"/>
      <c r="H42" t="s">
        <v>22</v>
      </c>
      <c r="I42" t="s">
        <v>13</v>
      </c>
      <c r="J42" t="s">
        <v>21</v>
      </c>
      <c r="L42">
        <v>4</v>
      </c>
      <c r="M42">
        <v>0</v>
      </c>
      <c r="O42">
        <f t="shared" si="0"/>
        <v>-8</v>
      </c>
      <c r="P42">
        <f t="shared" si="1"/>
        <v>8</v>
      </c>
    </row>
    <row r="43" spans="1:16" x14ac:dyDescent="0.2">
      <c r="A43" t="s">
        <v>25</v>
      </c>
      <c r="B43" s="2">
        <v>0.17760000000000001</v>
      </c>
      <c r="C43" s="2"/>
      <c r="D43" s="2"/>
      <c r="E43" s="2"/>
      <c r="F43" s="2"/>
      <c r="H43" t="s">
        <v>22</v>
      </c>
      <c r="I43" t="s">
        <v>13</v>
      </c>
      <c r="J43" t="s">
        <v>21</v>
      </c>
      <c r="L43">
        <v>4</v>
      </c>
      <c r="M43">
        <v>0</v>
      </c>
      <c r="O43">
        <f t="shared" si="0"/>
        <v>-8</v>
      </c>
      <c r="P43">
        <f t="shared" si="1"/>
        <v>8</v>
      </c>
    </row>
    <row r="44" spans="1:16" x14ac:dyDescent="0.2">
      <c r="A44" t="s">
        <v>36</v>
      </c>
      <c r="B44" s="2">
        <v>9.922499999999999E-3</v>
      </c>
      <c r="C44" s="2"/>
      <c r="D44" s="2"/>
      <c r="E44" s="2"/>
      <c r="F44" s="2"/>
      <c r="H44" t="s">
        <v>22</v>
      </c>
      <c r="I44" t="s">
        <v>13</v>
      </c>
      <c r="J44" t="s">
        <v>21</v>
      </c>
      <c r="L44">
        <v>4</v>
      </c>
      <c r="M44">
        <v>0</v>
      </c>
      <c r="O44">
        <f t="shared" si="0"/>
        <v>-8</v>
      </c>
      <c r="P44">
        <f t="shared" si="1"/>
        <v>8</v>
      </c>
    </row>
    <row r="45" spans="1:16" x14ac:dyDescent="0.2">
      <c r="A45" t="s">
        <v>35</v>
      </c>
      <c r="B45" s="2">
        <v>0.59534999999999993</v>
      </c>
      <c r="C45" s="2"/>
      <c r="D45" s="2"/>
      <c r="E45" s="2"/>
      <c r="F45" s="2"/>
      <c r="H45" t="s">
        <v>22</v>
      </c>
      <c r="I45" t="s">
        <v>13</v>
      </c>
      <c r="J45" t="s">
        <v>21</v>
      </c>
      <c r="L45">
        <v>4</v>
      </c>
      <c r="M45">
        <v>0</v>
      </c>
      <c r="O45">
        <f t="shared" si="0"/>
        <v>-8</v>
      </c>
      <c r="P45">
        <f t="shared" si="1"/>
        <v>8</v>
      </c>
    </row>
    <row r="46" spans="1:16" x14ac:dyDescent="0.2">
      <c r="A46" t="s">
        <v>68</v>
      </c>
      <c r="B46" s="2">
        <v>1.0447194000000001E-4</v>
      </c>
      <c r="C46" s="2"/>
      <c r="D46" s="2"/>
      <c r="E46" s="2"/>
      <c r="F46" s="2"/>
      <c r="H46" t="s">
        <v>22</v>
      </c>
      <c r="I46" t="s">
        <v>13</v>
      </c>
      <c r="J46" t="s">
        <v>21</v>
      </c>
      <c r="L46">
        <v>4</v>
      </c>
      <c r="M46">
        <v>0</v>
      </c>
      <c r="O46">
        <f t="shared" si="0"/>
        <v>-8</v>
      </c>
      <c r="P46">
        <f t="shared" si="1"/>
        <v>8</v>
      </c>
    </row>
    <row r="47" spans="1:16" x14ac:dyDescent="0.2">
      <c r="A47" t="s">
        <v>33</v>
      </c>
      <c r="B47" s="2">
        <v>0.52235969999999998</v>
      </c>
      <c r="C47" s="2"/>
      <c r="D47" s="2"/>
      <c r="E47" s="2"/>
      <c r="F47" s="2"/>
      <c r="H47" t="s">
        <v>22</v>
      </c>
      <c r="I47" t="s">
        <v>13</v>
      </c>
      <c r="J47" t="s">
        <v>21</v>
      </c>
      <c r="L47">
        <v>4</v>
      </c>
      <c r="M47">
        <v>0</v>
      </c>
      <c r="O47">
        <f t="shared" si="0"/>
        <v>-8</v>
      </c>
      <c r="P47">
        <f t="shared" si="1"/>
        <v>8</v>
      </c>
    </row>
    <row r="48" spans="1:16" x14ac:dyDescent="0.2">
      <c r="A48" t="s">
        <v>38</v>
      </c>
      <c r="B48" s="2">
        <v>5.9535000000000005E-2</v>
      </c>
      <c r="C48" s="2"/>
      <c r="D48" s="2"/>
      <c r="E48" s="2"/>
      <c r="F48" s="2"/>
      <c r="H48" t="s">
        <v>22</v>
      </c>
      <c r="I48" t="s">
        <v>13</v>
      </c>
      <c r="J48" t="s">
        <v>21</v>
      </c>
      <c r="L48">
        <v>4</v>
      </c>
      <c r="M48">
        <v>0</v>
      </c>
      <c r="O48">
        <f t="shared" si="0"/>
        <v>-8</v>
      </c>
      <c r="P48">
        <f t="shared" si="1"/>
        <v>8</v>
      </c>
    </row>
    <row r="49" spans="1:16" x14ac:dyDescent="0.2">
      <c r="A49" t="s">
        <v>69</v>
      </c>
      <c r="B49" s="2">
        <v>3.2250000000000001E-2</v>
      </c>
      <c r="C49" s="2"/>
      <c r="D49" s="2"/>
      <c r="E49" s="2"/>
      <c r="F49" s="2"/>
      <c r="H49" t="s">
        <v>22</v>
      </c>
      <c r="I49" t="s">
        <v>13</v>
      </c>
      <c r="J49" t="s">
        <v>21</v>
      </c>
      <c r="L49">
        <v>4</v>
      </c>
      <c r="M49">
        <v>0</v>
      </c>
      <c r="O49">
        <f t="shared" si="0"/>
        <v>-8</v>
      </c>
      <c r="P49">
        <f t="shared" si="1"/>
        <v>8</v>
      </c>
    </row>
    <row r="50" spans="1:16" x14ac:dyDescent="0.2">
      <c r="A50" t="s">
        <v>32</v>
      </c>
      <c r="B50" s="2">
        <v>1.0447194E-6</v>
      </c>
      <c r="C50" s="2"/>
      <c r="D50" s="2"/>
      <c r="E50" s="2"/>
      <c r="F50" s="2"/>
      <c r="H50" t="s">
        <v>22</v>
      </c>
      <c r="I50" t="s">
        <v>13</v>
      </c>
      <c r="J50" t="s">
        <v>21</v>
      </c>
      <c r="L50">
        <v>4</v>
      </c>
      <c r="M50">
        <v>0</v>
      </c>
      <c r="O50">
        <f t="shared" si="0"/>
        <v>-8</v>
      </c>
      <c r="P50">
        <f t="shared" si="1"/>
        <v>8</v>
      </c>
    </row>
    <row r="51" spans="1:16" x14ac:dyDescent="0.2">
      <c r="A51" t="s">
        <v>42</v>
      </c>
      <c r="B51" s="2">
        <v>5.457E-3</v>
      </c>
      <c r="C51" s="2"/>
      <c r="D51" s="2"/>
      <c r="E51" s="2"/>
      <c r="F51" s="2"/>
      <c r="H51" t="s">
        <v>22</v>
      </c>
      <c r="I51" t="s">
        <v>13</v>
      </c>
      <c r="J51" t="s">
        <v>21</v>
      </c>
      <c r="L51">
        <v>4</v>
      </c>
      <c r="M51">
        <v>0</v>
      </c>
      <c r="O51">
        <f t="shared" si="0"/>
        <v>-8</v>
      </c>
      <c r="P51">
        <f t="shared" si="1"/>
        <v>8</v>
      </c>
    </row>
    <row r="52" spans="1:16" x14ac:dyDescent="0.2">
      <c r="A52" t="s">
        <v>59</v>
      </c>
      <c r="B52" s="2">
        <v>1.3396499999999999E-2</v>
      </c>
      <c r="C52" s="2"/>
      <c r="D52" s="2"/>
      <c r="E52" s="2"/>
      <c r="F52" s="2"/>
      <c r="H52" t="s">
        <v>22</v>
      </c>
      <c r="I52" t="s">
        <v>13</v>
      </c>
      <c r="J52" t="s">
        <v>21</v>
      </c>
      <c r="L52">
        <v>4</v>
      </c>
      <c r="M52">
        <v>0</v>
      </c>
      <c r="O52">
        <f t="shared" si="0"/>
        <v>-8</v>
      </c>
      <c r="P52">
        <f t="shared" si="1"/>
        <v>8</v>
      </c>
    </row>
    <row r="53" spans="1:16" x14ac:dyDescent="0.2">
      <c r="A53" t="s">
        <v>23</v>
      </c>
      <c r="B53" s="2">
        <v>0.32099999999999995</v>
      </c>
      <c r="C53" s="2"/>
      <c r="D53" s="2"/>
      <c r="E53" s="2"/>
      <c r="F53" s="2"/>
      <c r="H53" t="s">
        <v>22</v>
      </c>
      <c r="I53" t="s">
        <v>13</v>
      </c>
      <c r="J53" t="s">
        <v>21</v>
      </c>
      <c r="L53">
        <v>4</v>
      </c>
      <c r="M53">
        <v>0</v>
      </c>
      <c r="O53">
        <f t="shared" si="0"/>
        <v>-8</v>
      </c>
      <c r="P53">
        <f t="shared" si="1"/>
        <v>8</v>
      </c>
    </row>
    <row r="54" spans="1:16" x14ac:dyDescent="0.2">
      <c r="A54" t="s">
        <v>39</v>
      </c>
      <c r="B54" s="2">
        <v>101.589</v>
      </c>
      <c r="C54" s="2"/>
      <c r="D54" s="2"/>
      <c r="E54" s="2"/>
      <c r="F54" s="2"/>
      <c r="H54" t="s">
        <v>22</v>
      </c>
      <c r="I54" t="s">
        <v>13</v>
      </c>
      <c r="J54" t="s">
        <v>21</v>
      </c>
      <c r="L54">
        <v>4</v>
      </c>
      <c r="M54">
        <v>0</v>
      </c>
      <c r="O54">
        <f t="shared" si="0"/>
        <v>-8</v>
      </c>
      <c r="P54">
        <f t="shared" si="1"/>
        <v>8</v>
      </c>
    </row>
    <row r="55" spans="1:16" x14ac:dyDescent="0.2">
      <c r="A55" t="s">
        <v>70</v>
      </c>
      <c r="B55" s="2">
        <v>2.0894388000000001E-7</v>
      </c>
      <c r="C55" s="2"/>
      <c r="D55" s="2"/>
      <c r="E55" s="2"/>
      <c r="F55" s="2"/>
      <c r="H55" t="s">
        <v>22</v>
      </c>
      <c r="I55" t="s">
        <v>13</v>
      </c>
      <c r="J55" t="s">
        <v>21</v>
      </c>
      <c r="L55">
        <v>4</v>
      </c>
      <c r="M55">
        <v>0</v>
      </c>
      <c r="O55">
        <f t="shared" si="0"/>
        <v>-8</v>
      </c>
      <c r="P55">
        <f t="shared" si="1"/>
        <v>8</v>
      </c>
    </row>
    <row r="56" spans="1:16" x14ac:dyDescent="0.2">
      <c r="A56" t="s">
        <v>71</v>
      </c>
      <c r="B56" s="2">
        <v>0.17864999999999998</v>
      </c>
      <c r="C56" s="2"/>
      <c r="D56" s="2"/>
      <c r="E56" s="2"/>
      <c r="F56" s="2"/>
      <c r="H56" t="s">
        <v>22</v>
      </c>
      <c r="I56" t="s">
        <v>13</v>
      </c>
      <c r="J56" t="s">
        <v>21</v>
      </c>
      <c r="L56">
        <v>4</v>
      </c>
      <c r="M56">
        <v>0</v>
      </c>
      <c r="O56">
        <f t="shared" si="0"/>
        <v>-8</v>
      </c>
      <c r="P56">
        <f t="shared" si="1"/>
        <v>8</v>
      </c>
    </row>
    <row r="57" spans="1:16" x14ac:dyDescent="0.2">
      <c r="A57" t="s">
        <v>24</v>
      </c>
      <c r="B57" s="2">
        <v>0.14585999999999999</v>
      </c>
      <c r="C57" s="2"/>
      <c r="D57" s="2"/>
      <c r="E57" s="2"/>
      <c r="F57" s="2"/>
      <c r="H57" t="s">
        <v>22</v>
      </c>
      <c r="I57" t="s">
        <v>13</v>
      </c>
      <c r="J57" t="s">
        <v>21</v>
      </c>
      <c r="L57">
        <v>4</v>
      </c>
      <c r="M57">
        <v>0</v>
      </c>
      <c r="O57">
        <f t="shared" si="0"/>
        <v>-8</v>
      </c>
      <c r="P57">
        <f t="shared" si="1"/>
        <v>8</v>
      </c>
    </row>
    <row r="58" spans="1:16" x14ac:dyDescent="0.2">
      <c r="A58" t="s">
        <v>72</v>
      </c>
      <c r="B58" s="2">
        <v>0.28719</v>
      </c>
      <c r="C58" s="2"/>
      <c r="D58" s="2"/>
      <c r="E58" s="2"/>
      <c r="F58" s="2"/>
      <c r="H58" t="s">
        <v>22</v>
      </c>
      <c r="I58" t="s">
        <v>13</v>
      </c>
      <c r="J58" t="s">
        <v>21</v>
      </c>
      <c r="L58">
        <v>4</v>
      </c>
      <c r="M58">
        <v>0</v>
      </c>
      <c r="O58">
        <f t="shared" si="0"/>
        <v>-8</v>
      </c>
      <c r="P58">
        <f t="shared" si="1"/>
        <v>8</v>
      </c>
    </row>
    <row r="59" spans="1:16" x14ac:dyDescent="0.2">
      <c r="A59" t="s">
        <v>73</v>
      </c>
      <c r="B59" s="2">
        <v>1.0447194E-2</v>
      </c>
      <c r="C59" s="2"/>
      <c r="D59" s="2"/>
      <c r="E59" s="2"/>
      <c r="F59" s="2"/>
      <c r="H59" t="s">
        <v>22</v>
      </c>
      <c r="I59" t="s">
        <v>13</v>
      </c>
      <c r="J59" t="s">
        <v>21</v>
      </c>
      <c r="L59">
        <v>4</v>
      </c>
      <c r="M59">
        <v>0</v>
      </c>
      <c r="O59">
        <f t="shared" si="0"/>
        <v>-8</v>
      </c>
      <c r="P59">
        <f t="shared" si="1"/>
        <v>8</v>
      </c>
    </row>
    <row r="60" spans="1:16" x14ac:dyDescent="0.2">
      <c r="A60" t="s">
        <v>29</v>
      </c>
      <c r="B60" s="2">
        <v>5.457E-3</v>
      </c>
      <c r="C60" s="2"/>
      <c r="D60" s="2"/>
      <c r="E60" s="2"/>
      <c r="F60" s="2"/>
      <c r="H60" t="s">
        <v>22</v>
      </c>
      <c r="I60" t="s">
        <v>13</v>
      </c>
      <c r="J60" t="s">
        <v>21</v>
      </c>
      <c r="L60">
        <v>4</v>
      </c>
      <c r="M60">
        <v>0</v>
      </c>
      <c r="O60">
        <f t="shared" si="0"/>
        <v>-8</v>
      </c>
      <c r="P60">
        <f t="shared" si="1"/>
        <v>8</v>
      </c>
    </row>
    <row r="61" spans="1:16" x14ac:dyDescent="0.2">
      <c r="A61" t="s">
        <v>46</v>
      </c>
      <c r="B61" s="2">
        <v>3.0269999999999998E-2</v>
      </c>
      <c r="C61" s="2"/>
      <c r="D61" s="2"/>
      <c r="E61" s="2"/>
      <c r="F61" s="2"/>
      <c r="H61" t="s">
        <v>22</v>
      </c>
      <c r="I61" t="s">
        <v>13</v>
      </c>
      <c r="J61" t="s">
        <v>21</v>
      </c>
      <c r="L61">
        <v>4</v>
      </c>
      <c r="M61">
        <v>0</v>
      </c>
      <c r="O61">
        <f t="shared" si="0"/>
        <v>-8</v>
      </c>
      <c r="P61">
        <f t="shared" si="1"/>
        <v>8</v>
      </c>
    </row>
    <row r="63" spans="1:16" s="1" customFormat="1" x14ac:dyDescent="0.2">
      <c r="A63" s="1" t="s">
        <v>1</v>
      </c>
      <c r="B63" s="1" t="str">
        <f>A73</f>
        <v>transport, passenger, car, battery electric</v>
      </c>
    </row>
    <row r="64" spans="1:16" x14ac:dyDescent="0.2">
      <c r="A64" t="s">
        <v>4</v>
      </c>
      <c r="B64" t="str">
        <f>K73</f>
        <v>transport, passenger, car</v>
      </c>
    </row>
    <row r="65" spans="1:17" x14ac:dyDescent="0.2">
      <c r="A65" t="s">
        <v>2</v>
      </c>
      <c r="B65" t="str">
        <f>G73</f>
        <v>RER</v>
      </c>
    </row>
    <row r="66" spans="1:17" x14ac:dyDescent="0.2">
      <c r="A66" t="s">
        <v>6</v>
      </c>
      <c r="B66" t="str">
        <f>I73</f>
        <v>kilometer</v>
      </c>
    </row>
    <row r="67" spans="1:17" x14ac:dyDescent="0.2">
      <c r="A67" t="s">
        <v>91</v>
      </c>
      <c r="B67">
        <v>150000</v>
      </c>
    </row>
    <row r="68" spans="1:17" x14ac:dyDescent="0.2">
      <c r="A68" t="s">
        <v>92</v>
      </c>
      <c r="B68">
        <v>16</v>
      </c>
    </row>
    <row r="69" spans="1:17" x14ac:dyDescent="0.2">
      <c r="A69" t="s">
        <v>93</v>
      </c>
      <c r="B69">
        <v>8</v>
      </c>
    </row>
    <row r="70" spans="1:17" x14ac:dyDescent="0.2">
      <c r="A70" t="s">
        <v>7</v>
      </c>
      <c r="B70" t="s">
        <v>102</v>
      </c>
    </row>
    <row r="71" spans="1:17" x14ac:dyDescent="0.2">
      <c r="A71" s="1" t="s">
        <v>8</v>
      </c>
    </row>
    <row r="72" spans="1:17" s="1" customFormat="1" x14ac:dyDescent="0.2">
      <c r="A72" s="1" t="s">
        <v>9</v>
      </c>
      <c r="B72" s="1" t="s">
        <v>10</v>
      </c>
      <c r="C72" s="1">
        <v>2020</v>
      </c>
      <c r="D72" s="1">
        <v>2040</v>
      </c>
      <c r="E72" s="1">
        <v>2060</v>
      </c>
      <c r="F72" s="1">
        <v>2080</v>
      </c>
      <c r="G72" s="1" t="s">
        <v>2</v>
      </c>
      <c r="H72" s="1" t="s">
        <v>11</v>
      </c>
      <c r="I72" s="1" t="s">
        <v>6</v>
      </c>
      <c r="J72" s="1" t="s">
        <v>5</v>
      </c>
      <c r="K72" s="1" t="s">
        <v>4</v>
      </c>
      <c r="L72" s="1" t="s">
        <v>85</v>
      </c>
      <c r="M72" s="1" t="s">
        <v>86</v>
      </c>
      <c r="N72" s="1" t="s">
        <v>87</v>
      </c>
      <c r="O72" s="1" t="s">
        <v>88</v>
      </c>
      <c r="P72" s="1" t="s">
        <v>89</v>
      </c>
      <c r="Q72" s="1" t="s">
        <v>90</v>
      </c>
    </row>
    <row r="73" spans="1:17" x14ac:dyDescent="0.2">
      <c r="A73" t="s">
        <v>83</v>
      </c>
      <c r="B73">
        <v>1</v>
      </c>
      <c r="G73" t="s">
        <v>16</v>
      </c>
      <c r="I73" t="s">
        <v>20</v>
      </c>
      <c r="J73" t="s">
        <v>12</v>
      </c>
      <c r="K73" t="s">
        <v>84</v>
      </c>
    </row>
    <row r="74" spans="1:17" x14ac:dyDescent="0.2">
      <c r="A74" t="s">
        <v>75</v>
      </c>
      <c r="B74" s="2">
        <v>-393</v>
      </c>
      <c r="C74" s="2"/>
      <c r="D74" s="2"/>
      <c r="E74" s="2"/>
      <c r="F74" s="2"/>
      <c r="G74" t="s">
        <v>3</v>
      </c>
      <c r="I74" t="s">
        <v>13</v>
      </c>
      <c r="J74" t="s">
        <v>14</v>
      </c>
      <c r="K74" t="s">
        <v>76</v>
      </c>
      <c r="L74">
        <v>2</v>
      </c>
      <c r="M74">
        <v>10</v>
      </c>
      <c r="N74">
        <v>0.3</v>
      </c>
      <c r="O74">
        <v>1</v>
      </c>
      <c r="P74">
        <v>16</v>
      </c>
    </row>
    <row r="75" spans="1:17" x14ac:dyDescent="0.2">
      <c r="A75" t="s">
        <v>49</v>
      </c>
      <c r="B75" s="2">
        <v>-0.15755937</v>
      </c>
      <c r="C75" s="2"/>
      <c r="D75" s="2"/>
      <c r="E75" s="2"/>
      <c r="F75" s="2"/>
      <c r="G75" t="s">
        <v>3</v>
      </c>
      <c r="I75" t="s">
        <v>13</v>
      </c>
      <c r="J75" t="s">
        <v>14</v>
      </c>
      <c r="K75" t="s">
        <v>50</v>
      </c>
      <c r="L75">
        <v>4</v>
      </c>
      <c r="M75">
        <v>0</v>
      </c>
      <c r="O75">
        <f>$B$9-$B$8</f>
        <v>-8</v>
      </c>
      <c r="P75">
        <f>$B$8-$B$9</f>
        <v>8</v>
      </c>
    </row>
    <row r="76" spans="1:17" x14ac:dyDescent="0.2">
      <c r="A76" t="s">
        <v>55</v>
      </c>
      <c r="B76" s="2">
        <v>-1.73315307</v>
      </c>
      <c r="C76" s="2"/>
      <c r="D76" s="2"/>
      <c r="E76" s="2"/>
      <c r="F76" s="2"/>
      <c r="G76" t="s">
        <v>3</v>
      </c>
      <c r="I76" t="s">
        <v>13</v>
      </c>
      <c r="J76" t="s">
        <v>14</v>
      </c>
      <c r="K76" t="s">
        <v>56</v>
      </c>
      <c r="L76">
        <v>4</v>
      </c>
      <c r="M76">
        <v>0</v>
      </c>
      <c r="O76">
        <f>$B$9-$B$8</f>
        <v>-8</v>
      </c>
      <c r="P76">
        <f>$B$8-$B$9</f>
        <v>8</v>
      </c>
    </row>
    <row r="77" spans="1:17" x14ac:dyDescent="0.2">
      <c r="A77" t="s">
        <v>57</v>
      </c>
      <c r="B77" s="2">
        <v>-10.135139250000002</v>
      </c>
      <c r="C77" s="2"/>
      <c r="D77" s="2"/>
      <c r="E77" s="2"/>
      <c r="F77" s="2"/>
      <c r="G77" t="s">
        <v>3</v>
      </c>
      <c r="I77" t="s">
        <v>13</v>
      </c>
      <c r="J77" t="s">
        <v>14</v>
      </c>
      <c r="K77" t="s">
        <v>58</v>
      </c>
      <c r="L77">
        <v>4</v>
      </c>
      <c r="M77">
        <v>0</v>
      </c>
      <c r="O77">
        <f>$B$9-$B$8</f>
        <v>-8</v>
      </c>
      <c r="P77">
        <f>$B$8-$B$9</f>
        <v>8</v>
      </c>
    </row>
    <row r="78" spans="1:17" x14ac:dyDescent="0.2">
      <c r="A78" t="s">
        <v>77</v>
      </c>
      <c r="B78" s="2">
        <v>1.0000000000000004</v>
      </c>
      <c r="C78" s="2"/>
      <c r="D78" s="2"/>
      <c r="E78" s="2"/>
      <c r="F78" s="2"/>
      <c r="G78" t="s">
        <v>3</v>
      </c>
      <c r="I78" t="s">
        <v>6</v>
      </c>
      <c r="J78" t="s">
        <v>14</v>
      </c>
      <c r="K78" t="s">
        <v>78</v>
      </c>
      <c r="L78">
        <v>4</v>
      </c>
      <c r="M78">
        <v>0</v>
      </c>
      <c r="O78">
        <f>$B$9-$B$8</f>
        <v>-8</v>
      </c>
      <c r="P78">
        <f>$B$8-$B$9</f>
        <v>8</v>
      </c>
    </row>
    <row r="79" spans="1:17" x14ac:dyDescent="0.2">
      <c r="A79" t="s">
        <v>17</v>
      </c>
      <c r="B79" s="2">
        <v>29850</v>
      </c>
      <c r="C79" s="2"/>
      <c r="D79" s="2"/>
      <c r="E79" s="2"/>
      <c r="F79" s="2"/>
      <c r="G79" t="s">
        <v>16</v>
      </c>
      <c r="I79" t="s">
        <v>18</v>
      </c>
      <c r="J79" t="s">
        <v>14</v>
      </c>
      <c r="K79" t="s">
        <v>19</v>
      </c>
      <c r="L79">
        <v>4</v>
      </c>
      <c r="M79">
        <v>0</v>
      </c>
      <c r="O79">
        <f>$B$9-$B$8</f>
        <v>-8</v>
      </c>
      <c r="P79">
        <f>$B$8-$B$9</f>
        <v>8</v>
      </c>
    </row>
    <row r="80" spans="1:17" x14ac:dyDescent="0.2">
      <c r="A80" t="s">
        <v>96</v>
      </c>
      <c r="B80" s="2">
        <v>73.122</v>
      </c>
      <c r="C80" s="2"/>
      <c r="D80" s="2"/>
      <c r="E80" s="2"/>
      <c r="F80" s="2"/>
      <c r="G80" t="s">
        <v>15</v>
      </c>
      <c r="I80" t="s">
        <v>51</v>
      </c>
      <c r="J80" t="s">
        <v>14</v>
      </c>
      <c r="K80" t="s">
        <v>52</v>
      </c>
      <c r="L80">
        <v>4</v>
      </c>
      <c r="M80">
        <v>-20</v>
      </c>
      <c r="O80">
        <v>-40</v>
      </c>
      <c r="P80">
        <v>-1</v>
      </c>
    </row>
    <row r="81" spans="1:16" x14ac:dyDescent="0.2">
      <c r="A81" t="s">
        <v>95</v>
      </c>
      <c r="B81" s="2">
        <v>918.22000000000048</v>
      </c>
      <c r="C81" s="2"/>
      <c r="D81" s="2"/>
      <c r="E81" s="2"/>
      <c r="F81" s="2"/>
      <c r="G81" t="s">
        <v>3</v>
      </c>
      <c r="I81" t="s">
        <v>13</v>
      </c>
      <c r="J81" t="s">
        <v>14</v>
      </c>
      <c r="K81" t="s">
        <v>79</v>
      </c>
      <c r="L81">
        <v>2</v>
      </c>
      <c r="M81">
        <f>-1*$B$69</f>
        <v>-8</v>
      </c>
      <c r="N81">
        <v>0.1</v>
      </c>
      <c r="O81">
        <f>-1*B68</f>
        <v>-16</v>
      </c>
      <c r="P81">
        <v>-1</v>
      </c>
    </row>
    <row r="82" spans="1:16" x14ac:dyDescent="0.2">
      <c r="A82" t="s">
        <v>80</v>
      </c>
      <c r="B82" s="2">
        <v>393</v>
      </c>
      <c r="C82" s="2"/>
      <c r="D82" s="2"/>
      <c r="E82" s="2"/>
      <c r="F82" s="2"/>
      <c r="G82" t="s">
        <v>3</v>
      </c>
      <c r="I82" t="s">
        <v>13</v>
      </c>
      <c r="J82" t="s">
        <v>14</v>
      </c>
      <c r="K82" t="s">
        <v>81</v>
      </c>
      <c r="L82">
        <v>2</v>
      </c>
      <c r="M82">
        <f>-1*$B$69</f>
        <v>-8</v>
      </c>
      <c r="N82">
        <v>0.1</v>
      </c>
      <c r="O82">
        <f>-1*B68</f>
        <v>-16</v>
      </c>
      <c r="P82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76FE-44EF-5B45-94D8-BBE1EF407674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C105-C6C4-0C43-B446-11A21C4C2EC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passenger cars</vt:lpstr>
      <vt:lpstr>biomass</vt:lpstr>
      <vt:lpstr>daccs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Romain Sacchi</cp:lastModifiedBy>
  <dcterms:created xsi:type="dcterms:W3CDTF">2026-02-07T13:43:55Z</dcterms:created>
  <dcterms:modified xsi:type="dcterms:W3CDTF">2026-02-12T17:02:01Z</dcterms:modified>
</cp:coreProperties>
</file>