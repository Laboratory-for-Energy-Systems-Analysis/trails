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omain/GitHub/trails/dev/example/"/>
    </mc:Choice>
  </mc:AlternateContent>
  <xr:revisionPtr revIDLastSave="0" documentId="13_ncr:1_{DFB3C214-7DCB-6B4C-A051-C5B418D98EEA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passenger cars" sheetId="1" r:id="rId1"/>
    <sheet name="biomass" sheetId="2" r:id="rId2"/>
    <sheet name="dac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1" l="1"/>
  <c r="J79" i="1"/>
  <c r="L80" i="1"/>
  <c r="L79" i="1"/>
  <c r="M77" i="1"/>
  <c r="L77" i="1"/>
  <c r="M76" i="1"/>
  <c r="L76" i="1"/>
  <c r="M75" i="1"/>
  <c r="L75" i="1"/>
  <c r="M74" i="1"/>
  <c r="L74" i="1"/>
  <c r="M73" i="1"/>
  <c r="L73" i="1"/>
  <c r="L21" i="1"/>
  <c r="J21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0" i="1"/>
  <c r="L20" i="1"/>
  <c r="M19" i="1"/>
  <c r="L19" i="1"/>
  <c r="M18" i="1"/>
  <c r="L18" i="1"/>
  <c r="M16" i="1"/>
  <c r="L16" i="1"/>
  <c r="M15" i="1"/>
  <c r="L15" i="1"/>
  <c r="M14" i="1"/>
  <c r="L14" i="1"/>
  <c r="B80" i="1"/>
  <c r="B73" i="1"/>
  <c r="B74" i="1"/>
  <c r="B75" i="1"/>
  <c r="B76" i="1"/>
  <c r="B77" i="1"/>
  <c r="B78" i="1"/>
  <c r="B79" i="1"/>
  <c r="B72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14" i="1"/>
  <c r="B64" i="1" l="1"/>
  <c r="B63" i="1"/>
  <c r="B62" i="1"/>
  <c r="B61" i="1"/>
  <c r="B6" i="1"/>
  <c r="B5" i="1"/>
  <c r="B4" i="1"/>
  <c r="B3" i="1"/>
</calcChain>
</file>

<file path=xl/sharedStrings.xml><?xml version="1.0" encoding="utf-8"?>
<sst xmlns="http://schemas.openxmlformats.org/spreadsheetml/2006/main" count="305" uniqueCount="106">
  <si>
    <t>Database</t>
  </si>
  <si>
    <t>Activity</t>
  </si>
  <si>
    <t>location</t>
  </si>
  <si>
    <t>GLO</t>
  </si>
  <si>
    <t>reference product</t>
  </si>
  <si>
    <t>type</t>
  </si>
  <si>
    <t>unit</t>
  </si>
  <si>
    <t>comment</t>
  </si>
  <si>
    <t>Exchanges</t>
  </si>
  <si>
    <t>name</t>
  </si>
  <si>
    <t>amount</t>
  </si>
  <si>
    <t>categories</t>
  </si>
  <si>
    <t>production</t>
  </si>
  <si>
    <t>kilogram</t>
  </si>
  <si>
    <t>technosphere</t>
  </si>
  <si>
    <t>RoW</t>
  </si>
  <si>
    <t>RER</t>
  </si>
  <si>
    <t>market group for electricity, low voltage</t>
  </si>
  <si>
    <t>kilowatt hour</t>
  </si>
  <si>
    <t>electricity, low voltage</t>
  </si>
  <si>
    <t>kilometer</t>
  </si>
  <si>
    <t>biosphere</t>
  </si>
  <si>
    <t>air::urban air close to ground</t>
  </si>
  <si>
    <t>Acetaldehyde</t>
  </si>
  <si>
    <t>Acetone</t>
  </si>
  <si>
    <t>Acrolein</t>
  </si>
  <si>
    <t>Ammonia</t>
  </si>
  <si>
    <t>Benzaldehyde</t>
  </si>
  <si>
    <t>Benzene</t>
  </si>
  <si>
    <t>Butane</t>
  </si>
  <si>
    <t>Carbon dioxide, fossil</t>
  </si>
  <si>
    <t>Carbon monoxide, fossil</t>
  </si>
  <si>
    <t>Chromium VI</t>
  </si>
  <si>
    <t>Dinitrogen monoxide</t>
  </si>
  <si>
    <t>Ethane</t>
  </si>
  <si>
    <t>Formaldehyde</t>
  </si>
  <si>
    <t>Heptane</t>
  </si>
  <si>
    <t>Methane, fossil</t>
  </si>
  <si>
    <t>Methyl ethyl ketone</t>
  </si>
  <si>
    <t>Nitrogen oxides</t>
  </si>
  <si>
    <t>PAH, polycyclic aromatic hydrocarbons</t>
  </si>
  <si>
    <t>Pentane</t>
  </si>
  <si>
    <t>Propane</t>
  </si>
  <si>
    <t>Styrene</t>
  </si>
  <si>
    <t>Sulfur dioxide</t>
  </si>
  <si>
    <t>Toluene</t>
  </si>
  <si>
    <t>m-Xylene</t>
  </si>
  <si>
    <t>maintenance, passenger car</t>
  </si>
  <si>
    <t>passenger car maintenance</t>
  </si>
  <si>
    <t>market for brake wear emissions, passenger car</t>
  </si>
  <si>
    <t>brake wear emissions, passenger car</t>
  </si>
  <si>
    <t>meter-year</t>
  </si>
  <si>
    <t>road</t>
  </si>
  <si>
    <t>market for road maintenance</t>
  </si>
  <si>
    <t>road maintenance</t>
  </si>
  <si>
    <t>market for road wear emissions, passenger car</t>
  </si>
  <si>
    <t>road wear emissions, passenger car</t>
  </si>
  <si>
    <t>market for tyre wear emissions, passenger car</t>
  </si>
  <si>
    <t>tyre wear emissions, passenger car</t>
  </si>
  <si>
    <t>o-Xylene</t>
  </si>
  <si>
    <t>diesel, low-sulfur</t>
  </si>
  <si>
    <t>NMVOC, non-methane volatile organic compounds</t>
  </si>
  <si>
    <t>Nickel II</t>
  </si>
  <si>
    <t>Chromium III</t>
  </si>
  <si>
    <t>Copper ion</t>
  </si>
  <si>
    <t>Lead II</t>
  </si>
  <si>
    <t>Ethylene oxide</t>
  </si>
  <si>
    <t>Selenium IV</t>
  </si>
  <si>
    <t>Cadmium II</t>
  </si>
  <si>
    <t>Hydrocarbons, aliphatic, alkanes, cyclic</t>
  </si>
  <si>
    <t>Mercury II</t>
  </si>
  <si>
    <t>Propylene oxide</t>
  </si>
  <si>
    <t>Particulate Matter, &lt; 2.5 um</t>
  </si>
  <si>
    <t>Zinc II</t>
  </si>
  <si>
    <t>market group for diesel, low-sulfur</t>
  </si>
  <si>
    <t>passenger car, diesel</t>
  </si>
  <si>
    <t>market for used Li-ion battery</t>
  </si>
  <si>
    <t>used Li-ion battery</t>
  </si>
  <si>
    <t>market for maintenance, passenger car, electric, without battery</t>
  </si>
  <si>
    <t>maintenance, passenger car, electric, without battery</t>
  </si>
  <si>
    <t>passenger car, electric, without battery</t>
  </si>
  <si>
    <t>market for battery, Li-ion, LiMn2O4, rechargeable</t>
  </si>
  <si>
    <t>battery, Li-ion, LiMn2O4, rechargeable</t>
  </si>
  <si>
    <t>transport, passenger, car, diesel</t>
  </si>
  <si>
    <t>transport, passenger, car, battery electric</t>
  </si>
  <si>
    <t>transport, passenger, car</t>
  </si>
  <si>
    <t>temporal_distribution</t>
  </si>
  <si>
    <t>temporal_loc</t>
  </si>
  <si>
    <t>temporal_scale</t>
  </si>
  <si>
    <t>temporal_min</t>
  </si>
  <si>
    <t>temporal_max</t>
  </si>
  <si>
    <t>temporal_amount_source</t>
  </si>
  <si>
    <t>lifetime [km]</t>
  </si>
  <si>
    <t>unit_amount</t>
  </si>
  <si>
    <t>lifetime [year]</t>
  </si>
  <si>
    <t>average age [year]</t>
  </si>
  <si>
    <t>passenger car production, diesel</t>
  </si>
  <si>
    <t>passenger car production, electric, without battery</t>
  </si>
  <si>
    <t>road construction</t>
  </si>
  <si>
    <t>Occurs uniformly over the vehicle's use phase.</t>
  </si>
  <si>
    <t>The road has been continuously built between 40 years ago and last year.</t>
  </si>
  <si>
    <t>The car is being continuously maintained over the use phase.</t>
  </si>
  <si>
    <t>Diesel is consumed uniformaly over the use phase.</t>
  </si>
  <si>
    <t>The road undergoes maintenance uniformaly over the use phase.</t>
  </si>
  <si>
    <t>lci-trails</t>
  </si>
  <si>
    <t>Example activitiy to test the import function of trails.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</si>
</sst>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tabSelected="1" workbookViewId="0">
      <selection activeCell="K80" sqref="K80"/>
    </sheetView>
  </sheetViews>
  <sheetFormatPr baseColWidth="10" defaultColWidth="8.83203125" defaultRowHeight="15" x14ac:dyDescent="0.2"/>
  <cols>
    <col min="1" max="1" width="49.83203125" customWidth="1"/>
    <col min="2" max="2" width="39.5" bestFit="1" customWidth="1"/>
    <col min="4" max="4" width="11.5" customWidth="1"/>
    <col min="7" max="7" width="26.5" customWidth="1"/>
    <col min="8" max="8" width="12.83203125" hidden="1" customWidth="1"/>
    <col min="9" max="9" width="18.5" bestFit="1" customWidth="1"/>
    <col min="10" max="10" width="11.5" bestFit="1" customWidth="1"/>
    <col min="11" max="11" width="13" bestFit="1" customWidth="1"/>
    <col min="12" max="12" width="12.1640625" bestFit="1" customWidth="1"/>
    <col min="13" max="13" width="12.33203125" bestFit="1" customWidth="1"/>
    <col min="14" max="14" width="21.5" bestFit="1" customWidth="1"/>
  </cols>
  <sheetData>
    <row r="1" spans="1:15" x14ac:dyDescent="0.2">
      <c r="A1" s="2" t="s">
        <v>0</v>
      </c>
      <c r="B1" t="s">
        <v>104</v>
      </c>
    </row>
    <row r="3" spans="1:15" s="2" customFormat="1" x14ac:dyDescent="0.2">
      <c r="A3" s="2" t="s">
        <v>1</v>
      </c>
      <c r="B3" s="2" t="str">
        <f>A13</f>
        <v>transport, passenger, car, diesel</v>
      </c>
    </row>
    <row r="4" spans="1:15" x14ac:dyDescent="0.2">
      <c r="A4" t="s">
        <v>4</v>
      </c>
      <c r="B4" t="str">
        <f>G13</f>
        <v>transport, passenger, car</v>
      </c>
    </row>
    <row r="5" spans="1:15" x14ac:dyDescent="0.2">
      <c r="A5" t="s">
        <v>2</v>
      </c>
      <c r="B5" t="str">
        <f>C13</f>
        <v>RER</v>
      </c>
    </row>
    <row r="6" spans="1:15" x14ac:dyDescent="0.2">
      <c r="A6" t="s">
        <v>6</v>
      </c>
      <c r="B6" t="str">
        <f>E13</f>
        <v>kilometer</v>
      </c>
    </row>
    <row r="7" spans="1:15" x14ac:dyDescent="0.2">
      <c r="A7" t="s">
        <v>92</v>
      </c>
      <c r="B7">
        <v>150000</v>
      </c>
    </row>
    <row r="8" spans="1:15" x14ac:dyDescent="0.2">
      <c r="A8" t="s">
        <v>94</v>
      </c>
      <c r="B8">
        <v>16</v>
      </c>
    </row>
    <row r="9" spans="1:15" x14ac:dyDescent="0.2">
      <c r="A9" t="s">
        <v>95</v>
      </c>
      <c r="B9">
        <v>8</v>
      </c>
    </row>
    <row r="10" spans="1:15" x14ac:dyDescent="0.2">
      <c r="A10" t="s">
        <v>7</v>
      </c>
      <c r="B10" t="s">
        <v>105</v>
      </c>
    </row>
    <row r="11" spans="1:15" x14ac:dyDescent="0.2">
      <c r="A11" s="2" t="s">
        <v>8</v>
      </c>
    </row>
    <row r="12" spans="1:15" s="2" customFormat="1" x14ac:dyDescent="0.2">
      <c r="A12" s="2" t="s">
        <v>9</v>
      </c>
      <c r="B12" s="2" t="s">
        <v>10</v>
      </c>
      <c r="C12" s="2" t="s">
        <v>2</v>
      </c>
      <c r="D12" s="2" t="s">
        <v>11</v>
      </c>
      <c r="E12" s="2" t="s">
        <v>6</v>
      </c>
      <c r="F12" s="2" t="s">
        <v>5</v>
      </c>
      <c r="G12" s="2" t="s">
        <v>4</v>
      </c>
      <c r="H12" s="2" t="s">
        <v>93</v>
      </c>
      <c r="I12" s="2" t="s">
        <v>86</v>
      </c>
      <c r="J12" s="2" t="s">
        <v>87</v>
      </c>
      <c r="K12" s="2" t="s">
        <v>88</v>
      </c>
      <c r="L12" s="2" t="s">
        <v>89</v>
      </c>
      <c r="M12" s="2" t="s">
        <v>90</v>
      </c>
      <c r="N12" s="2" t="s">
        <v>91</v>
      </c>
      <c r="O12" s="2" t="s">
        <v>7</v>
      </c>
    </row>
    <row r="13" spans="1:15" x14ac:dyDescent="0.2">
      <c r="A13" t="s">
        <v>83</v>
      </c>
      <c r="B13">
        <v>1</v>
      </c>
      <c r="C13" t="s">
        <v>16</v>
      </c>
      <c r="E13" t="s">
        <v>20</v>
      </c>
      <c r="F13" t="s">
        <v>12</v>
      </c>
      <c r="G13" t="s">
        <v>85</v>
      </c>
    </row>
    <row r="14" spans="1:15" x14ac:dyDescent="0.2">
      <c r="A14" t="s">
        <v>49</v>
      </c>
      <c r="B14" s="3">
        <f>$B$7*H14</f>
        <v>-1.3998809999999999</v>
      </c>
      <c r="C14" t="s">
        <v>3</v>
      </c>
      <c r="E14" t="s">
        <v>13</v>
      </c>
      <c r="F14" t="s">
        <v>14</v>
      </c>
      <c r="G14" t="s">
        <v>50</v>
      </c>
      <c r="H14" s="1">
        <v>-9.3325400000000003E-6</v>
      </c>
      <c r="I14">
        <v>4</v>
      </c>
      <c r="J14">
        <v>0</v>
      </c>
      <c r="L14">
        <f>$B$9-$B$8</f>
        <v>-8</v>
      </c>
      <c r="M14">
        <f>$B$8-$B$9</f>
        <v>8</v>
      </c>
      <c r="O14" t="s">
        <v>99</v>
      </c>
    </row>
    <row r="15" spans="1:15" x14ac:dyDescent="0.2">
      <c r="A15" t="s">
        <v>55</v>
      </c>
      <c r="B15" s="3">
        <f t="shared" ref="B15:B59" si="0">$B$7*H15</f>
        <v>-3.0797382</v>
      </c>
      <c r="C15" t="s">
        <v>3</v>
      </c>
      <c r="E15" t="s">
        <v>13</v>
      </c>
      <c r="F15" t="s">
        <v>14</v>
      </c>
      <c r="G15" t="s">
        <v>56</v>
      </c>
      <c r="H15" s="1">
        <v>-2.0531587999999999E-5</v>
      </c>
      <c r="I15">
        <v>4</v>
      </c>
      <c r="J15">
        <v>0</v>
      </c>
      <c r="L15">
        <f>$B$9-$B$8</f>
        <v>-8</v>
      </c>
      <c r="M15">
        <f>$B$8-$B$9</f>
        <v>8</v>
      </c>
      <c r="O15" t="s">
        <v>99</v>
      </c>
    </row>
    <row r="16" spans="1:15" x14ac:dyDescent="0.2">
      <c r="A16" t="s">
        <v>57</v>
      </c>
      <c r="B16" s="3">
        <f t="shared" si="0"/>
        <v>-18.009705</v>
      </c>
      <c r="C16" t="s">
        <v>3</v>
      </c>
      <c r="E16" t="s">
        <v>13</v>
      </c>
      <c r="F16" t="s">
        <v>14</v>
      </c>
      <c r="G16" t="s">
        <v>58</v>
      </c>
      <c r="H16">
        <v>-1.200647E-4</v>
      </c>
      <c r="I16">
        <v>4</v>
      </c>
      <c r="J16">
        <v>0</v>
      </c>
      <c r="L16">
        <f>$B$9-$B$8</f>
        <v>-8</v>
      </c>
      <c r="M16">
        <f>$B$8-$B$9</f>
        <v>8</v>
      </c>
      <c r="O16" t="s">
        <v>99</v>
      </c>
    </row>
    <row r="17" spans="1:15" x14ac:dyDescent="0.2">
      <c r="A17" t="s">
        <v>98</v>
      </c>
      <c r="B17" s="3">
        <f t="shared" si="0"/>
        <v>168.92946000000001</v>
      </c>
      <c r="C17" t="s">
        <v>15</v>
      </c>
      <c r="E17" t="s">
        <v>51</v>
      </c>
      <c r="F17" t="s">
        <v>14</v>
      </c>
      <c r="G17" t="s">
        <v>52</v>
      </c>
      <c r="H17">
        <v>1.1261964E-3</v>
      </c>
      <c r="I17">
        <v>4</v>
      </c>
      <c r="J17">
        <v>-20</v>
      </c>
      <c r="L17">
        <v>-40</v>
      </c>
      <c r="M17">
        <v>-1</v>
      </c>
      <c r="O17" t="s">
        <v>100</v>
      </c>
    </row>
    <row r="18" spans="1:15" x14ac:dyDescent="0.2">
      <c r="A18" t="s">
        <v>47</v>
      </c>
      <c r="B18" s="3">
        <f t="shared" si="0"/>
        <v>1.61290322580645</v>
      </c>
      <c r="C18" t="s">
        <v>16</v>
      </c>
      <c r="E18" t="s">
        <v>6</v>
      </c>
      <c r="F18" t="s">
        <v>14</v>
      </c>
      <c r="G18" t="s">
        <v>48</v>
      </c>
      <c r="H18" s="1">
        <v>1.0752688172043E-5</v>
      </c>
      <c r="I18">
        <v>4</v>
      </c>
      <c r="J18">
        <v>0</v>
      </c>
      <c r="L18">
        <f>$B$9-$B$8</f>
        <v>-8</v>
      </c>
      <c r="M18">
        <f>$B$8-$B$9</f>
        <v>8</v>
      </c>
      <c r="O18" t="s">
        <v>101</v>
      </c>
    </row>
    <row r="19" spans="1:15" x14ac:dyDescent="0.2">
      <c r="A19" t="s">
        <v>53</v>
      </c>
      <c r="B19" s="3">
        <f t="shared" si="0"/>
        <v>39.814067975319894</v>
      </c>
      <c r="C19" t="s">
        <v>16</v>
      </c>
      <c r="E19" t="s">
        <v>51</v>
      </c>
      <c r="F19" t="s">
        <v>14</v>
      </c>
      <c r="G19" t="s">
        <v>54</v>
      </c>
      <c r="H19">
        <v>2.6542711983546598E-4</v>
      </c>
      <c r="I19">
        <v>4</v>
      </c>
      <c r="J19">
        <v>0</v>
      </c>
      <c r="L19">
        <f>$B$9-$B$8</f>
        <v>-8</v>
      </c>
      <c r="M19">
        <f>$B$8-$B$9</f>
        <v>8</v>
      </c>
      <c r="O19" t="s">
        <v>103</v>
      </c>
    </row>
    <row r="20" spans="1:15" x14ac:dyDescent="0.2">
      <c r="A20" t="s">
        <v>74</v>
      </c>
      <c r="B20" s="3">
        <f t="shared" si="0"/>
        <v>10447.194</v>
      </c>
      <c r="C20" t="s">
        <v>16</v>
      </c>
      <c r="E20" t="s">
        <v>13</v>
      </c>
      <c r="F20" t="s">
        <v>14</v>
      </c>
      <c r="G20" t="s">
        <v>60</v>
      </c>
      <c r="H20">
        <v>6.9647959999999995E-2</v>
      </c>
      <c r="I20">
        <v>4</v>
      </c>
      <c r="J20">
        <v>0</v>
      </c>
      <c r="L20">
        <f>$B$9-$B$8</f>
        <v>-8</v>
      </c>
      <c r="M20">
        <f>$B$8-$B$9</f>
        <v>8</v>
      </c>
      <c r="O20" t="s">
        <v>102</v>
      </c>
    </row>
    <row r="21" spans="1:15" x14ac:dyDescent="0.2">
      <c r="A21" t="s">
        <v>96</v>
      </c>
      <c r="B21" s="3">
        <f t="shared" si="0"/>
        <v>1999.999999999995</v>
      </c>
      <c r="C21" t="s">
        <v>3</v>
      </c>
      <c r="E21" t="s">
        <v>13</v>
      </c>
      <c r="F21" t="s">
        <v>14</v>
      </c>
      <c r="G21" t="s">
        <v>75</v>
      </c>
      <c r="H21">
        <v>1.3333333333333299E-2</v>
      </c>
      <c r="I21">
        <v>3</v>
      </c>
      <c r="J21">
        <f>-1*$B$9</f>
        <v>-8</v>
      </c>
      <c r="K21">
        <v>0.5</v>
      </c>
      <c r="L21">
        <f>-1*B8</f>
        <v>-16</v>
      </c>
      <c r="M21">
        <v>-1</v>
      </c>
    </row>
    <row r="22" spans="1:15" x14ac:dyDescent="0.2">
      <c r="A22" t="s">
        <v>34</v>
      </c>
      <c r="B22" s="3">
        <f t="shared" si="0"/>
        <v>1.6379999999999999E-2</v>
      </c>
      <c r="D22" t="s">
        <v>22</v>
      </c>
      <c r="E22" t="s">
        <v>13</v>
      </c>
      <c r="F22" t="s">
        <v>21</v>
      </c>
      <c r="H22" s="1">
        <v>1.092E-7</v>
      </c>
      <c r="I22">
        <v>4</v>
      </c>
      <c r="J22">
        <v>0</v>
      </c>
      <c r="L22">
        <f t="shared" ref="L22:L59" si="1">$B$9-$B$8</f>
        <v>-8</v>
      </c>
      <c r="M22">
        <f t="shared" ref="M22:M59" si="2">$B$8-$B$9</f>
        <v>8</v>
      </c>
    </row>
    <row r="23" spans="1:15" x14ac:dyDescent="0.2">
      <c r="A23" t="s">
        <v>61</v>
      </c>
      <c r="B23" s="3">
        <f t="shared" si="0"/>
        <v>2.6310000000000002</v>
      </c>
      <c r="D23" t="s">
        <v>22</v>
      </c>
      <c r="E23" t="s">
        <v>13</v>
      </c>
      <c r="F23" t="s">
        <v>21</v>
      </c>
      <c r="H23" s="1">
        <v>1.7540000000000001E-5</v>
      </c>
      <c r="I23">
        <v>4</v>
      </c>
      <c r="J23">
        <v>0</v>
      </c>
      <c r="L23">
        <f t="shared" si="1"/>
        <v>-8</v>
      </c>
      <c r="M23">
        <f t="shared" si="2"/>
        <v>8</v>
      </c>
    </row>
    <row r="24" spans="1:15" x14ac:dyDescent="0.2">
      <c r="A24" t="s">
        <v>62</v>
      </c>
      <c r="B24" s="3">
        <f t="shared" si="0"/>
        <v>7.3130358000000006E-4</v>
      </c>
      <c r="D24" t="s">
        <v>22</v>
      </c>
      <c r="E24" t="s">
        <v>13</v>
      </c>
      <c r="F24" t="s">
        <v>21</v>
      </c>
      <c r="H24" s="1">
        <v>4.8753572000000004E-9</v>
      </c>
      <c r="I24">
        <v>4</v>
      </c>
      <c r="J24">
        <v>0</v>
      </c>
      <c r="L24">
        <f t="shared" si="1"/>
        <v>-8</v>
      </c>
      <c r="M24">
        <f t="shared" si="2"/>
        <v>8</v>
      </c>
    </row>
    <row r="25" spans="1:15" x14ac:dyDescent="0.2">
      <c r="A25" t="s">
        <v>45</v>
      </c>
      <c r="B25" s="3">
        <f t="shared" si="0"/>
        <v>3.4229999999999997E-2</v>
      </c>
      <c r="D25" t="s">
        <v>22</v>
      </c>
      <c r="E25" t="s">
        <v>13</v>
      </c>
      <c r="F25" t="s">
        <v>21</v>
      </c>
      <c r="H25" s="1">
        <v>2.2819999999999999E-7</v>
      </c>
      <c r="I25">
        <v>4</v>
      </c>
      <c r="J25">
        <v>0</v>
      </c>
      <c r="L25">
        <f t="shared" si="1"/>
        <v>-8</v>
      </c>
      <c r="M25">
        <f t="shared" si="2"/>
        <v>8</v>
      </c>
    </row>
    <row r="26" spans="1:15" x14ac:dyDescent="0.2">
      <c r="A26" t="s">
        <v>43</v>
      </c>
      <c r="B26" s="3">
        <f t="shared" si="0"/>
        <v>1.8360000000000001E-2</v>
      </c>
      <c r="D26" t="s">
        <v>22</v>
      </c>
      <c r="E26" t="s">
        <v>13</v>
      </c>
      <c r="F26" t="s">
        <v>21</v>
      </c>
      <c r="H26" s="1">
        <v>1.2240000000000001E-7</v>
      </c>
      <c r="I26">
        <v>4</v>
      </c>
      <c r="J26">
        <v>0</v>
      </c>
      <c r="L26">
        <f t="shared" si="1"/>
        <v>-8</v>
      </c>
      <c r="M26">
        <f t="shared" si="2"/>
        <v>8</v>
      </c>
    </row>
    <row r="27" spans="1:15" x14ac:dyDescent="0.2">
      <c r="A27" t="s">
        <v>63</v>
      </c>
      <c r="B27" s="3">
        <f t="shared" si="0"/>
        <v>5.2235970000000004E-4</v>
      </c>
      <c r="D27" t="s">
        <v>22</v>
      </c>
      <c r="E27" t="s">
        <v>13</v>
      </c>
      <c r="F27" t="s">
        <v>21</v>
      </c>
      <c r="H27" s="1">
        <v>3.4823980000000001E-9</v>
      </c>
      <c r="I27">
        <v>4</v>
      </c>
      <c r="J27">
        <v>0</v>
      </c>
      <c r="L27">
        <f t="shared" si="1"/>
        <v>-8</v>
      </c>
      <c r="M27">
        <f t="shared" si="2"/>
        <v>8</v>
      </c>
    </row>
    <row r="28" spans="1:15" x14ac:dyDescent="0.2">
      <c r="A28" t="s">
        <v>31</v>
      </c>
      <c r="B28" s="3">
        <f t="shared" si="0"/>
        <v>9.4649999999999999</v>
      </c>
      <c r="D28" t="s">
        <v>22</v>
      </c>
      <c r="E28" t="s">
        <v>13</v>
      </c>
      <c r="F28" t="s">
        <v>21</v>
      </c>
      <c r="H28" s="1">
        <v>6.3100000000000002E-5</v>
      </c>
      <c r="I28">
        <v>4</v>
      </c>
      <c r="J28">
        <v>0</v>
      </c>
      <c r="L28">
        <f t="shared" si="1"/>
        <v>-8</v>
      </c>
      <c r="M28">
        <f t="shared" si="2"/>
        <v>8</v>
      </c>
    </row>
    <row r="29" spans="1:15" x14ac:dyDescent="0.2">
      <c r="A29" t="s">
        <v>64</v>
      </c>
      <c r="B29" s="3">
        <f t="shared" si="0"/>
        <v>1.7760229799999999E-2</v>
      </c>
      <c r="D29" t="s">
        <v>22</v>
      </c>
      <c r="E29" t="s">
        <v>13</v>
      </c>
      <c r="F29" t="s">
        <v>21</v>
      </c>
      <c r="H29" s="1">
        <v>1.18401532E-7</v>
      </c>
      <c r="I29">
        <v>4</v>
      </c>
      <c r="J29">
        <v>0</v>
      </c>
      <c r="L29">
        <f t="shared" si="1"/>
        <v>-8</v>
      </c>
      <c r="M29">
        <f t="shared" si="2"/>
        <v>8</v>
      </c>
    </row>
    <row r="30" spans="1:15" x14ac:dyDescent="0.2">
      <c r="A30" t="s">
        <v>44</v>
      </c>
      <c r="B30" s="3">
        <f t="shared" si="0"/>
        <v>0.20894388</v>
      </c>
      <c r="D30" t="s">
        <v>22</v>
      </c>
      <c r="E30" t="s">
        <v>13</v>
      </c>
      <c r="F30" t="s">
        <v>21</v>
      </c>
      <c r="H30" s="1">
        <v>1.3929592000000001E-6</v>
      </c>
      <c r="I30">
        <v>4</v>
      </c>
      <c r="J30">
        <v>0</v>
      </c>
      <c r="L30">
        <f t="shared" si="1"/>
        <v>-8</v>
      </c>
      <c r="M30">
        <f t="shared" si="2"/>
        <v>8</v>
      </c>
    </row>
    <row r="31" spans="1:15" x14ac:dyDescent="0.2">
      <c r="A31" t="s">
        <v>26</v>
      </c>
      <c r="B31" s="3">
        <f t="shared" si="0"/>
        <v>0.167155104</v>
      </c>
      <c r="D31" t="s">
        <v>22</v>
      </c>
      <c r="E31" t="s">
        <v>13</v>
      </c>
      <c r="F31" t="s">
        <v>21</v>
      </c>
      <c r="H31" s="1">
        <v>1.1143673600000001E-6</v>
      </c>
      <c r="I31">
        <v>4</v>
      </c>
      <c r="J31">
        <v>0</v>
      </c>
      <c r="L31">
        <f t="shared" si="1"/>
        <v>-8</v>
      </c>
      <c r="M31">
        <f t="shared" si="2"/>
        <v>8</v>
      </c>
    </row>
    <row r="32" spans="1:15" x14ac:dyDescent="0.2">
      <c r="A32" t="s">
        <v>65</v>
      </c>
      <c r="B32" s="3">
        <f t="shared" si="0"/>
        <v>8.6189350500000001E-10</v>
      </c>
      <c r="D32" t="s">
        <v>22</v>
      </c>
      <c r="E32" t="s">
        <v>13</v>
      </c>
      <c r="F32" t="s">
        <v>21</v>
      </c>
      <c r="H32" s="1">
        <v>5.7459566999999998E-15</v>
      </c>
      <c r="I32">
        <v>4</v>
      </c>
      <c r="J32">
        <v>0</v>
      </c>
      <c r="L32">
        <f t="shared" si="1"/>
        <v>-8</v>
      </c>
      <c r="M32">
        <f t="shared" si="2"/>
        <v>8</v>
      </c>
    </row>
    <row r="33" spans="1:13" x14ac:dyDescent="0.2">
      <c r="A33" t="s">
        <v>66</v>
      </c>
      <c r="B33" s="3">
        <f t="shared" si="0"/>
        <v>0.54420000000000002</v>
      </c>
      <c r="D33" t="s">
        <v>22</v>
      </c>
      <c r="E33" t="s">
        <v>13</v>
      </c>
      <c r="F33" t="s">
        <v>21</v>
      </c>
      <c r="H33" s="1">
        <v>3.6279999999999998E-6</v>
      </c>
      <c r="I33">
        <v>4</v>
      </c>
      <c r="J33">
        <v>0</v>
      </c>
      <c r="L33">
        <f t="shared" si="1"/>
        <v>-8</v>
      </c>
      <c r="M33">
        <f t="shared" si="2"/>
        <v>8</v>
      </c>
    </row>
    <row r="34" spans="1:13" x14ac:dyDescent="0.2">
      <c r="A34" t="s">
        <v>27</v>
      </c>
      <c r="B34" s="3">
        <f t="shared" si="0"/>
        <v>4.2674999999999998E-2</v>
      </c>
      <c r="D34" t="s">
        <v>22</v>
      </c>
      <c r="E34" t="s">
        <v>13</v>
      </c>
      <c r="F34" t="s">
        <v>21</v>
      </c>
      <c r="H34" s="1">
        <v>2.8449999999999999E-7</v>
      </c>
      <c r="I34">
        <v>4</v>
      </c>
      <c r="J34">
        <v>0</v>
      </c>
      <c r="L34">
        <f t="shared" si="1"/>
        <v>-8</v>
      </c>
      <c r="M34">
        <f t="shared" si="2"/>
        <v>8</v>
      </c>
    </row>
    <row r="35" spans="1:13" x14ac:dyDescent="0.2">
      <c r="A35" t="s">
        <v>37</v>
      </c>
      <c r="B35" s="3">
        <f t="shared" si="0"/>
        <v>0.29849999999999999</v>
      </c>
      <c r="D35" t="s">
        <v>22</v>
      </c>
      <c r="E35" t="s">
        <v>13</v>
      </c>
      <c r="F35" t="s">
        <v>21</v>
      </c>
      <c r="H35" s="1">
        <v>1.99E-6</v>
      </c>
      <c r="I35">
        <v>4</v>
      </c>
      <c r="J35">
        <v>0</v>
      </c>
      <c r="L35">
        <f t="shared" si="1"/>
        <v>-8</v>
      </c>
      <c r="M35">
        <f t="shared" si="2"/>
        <v>8</v>
      </c>
    </row>
    <row r="36" spans="1:13" x14ac:dyDescent="0.2">
      <c r="A36" t="s">
        <v>67</v>
      </c>
      <c r="B36" s="3">
        <f t="shared" si="0"/>
        <v>1.0447194000000001E-4</v>
      </c>
      <c r="D36" t="s">
        <v>22</v>
      </c>
      <c r="E36" t="s">
        <v>13</v>
      </c>
      <c r="F36" t="s">
        <v>21</v>
      </c>
      <c r="H36" s="1">
        <v>6.9647960000000004E-10</v>
      </c>
      <c r="I36">
        <v>4</v>
      </c>
      <c r="J36">
        <v>0</v>
      </c>
      <c r="L36">
        <f t="shared" si="1"/>
        <v>-8</v>
      </c>
      <c r="M36">
        <f t="shared" si="2"/>
        <v>8</v>
      </c>
    </row>
    <row r="37" spans="1:13" x14ac:dyDescent="0.2">
      <c r="A37" t="s">
        <v>30</v>
      </c>
      <c r="B37" s="3">
        <f t="shared" si="0"/>
        <v>32804.189160000002</v>
      </c>
      <c r="D37" t="s">
        <v>22</v>
      </c>
      <c r="E37" t="s">
        <v>13</v>
      </c>
      <c r="F37" t="s">
        <v>21</v>
      </c>
      <c r="H37">
        <v>0.2186945944</v>
      </c>
      <c r="I37">
        <v>4</v>
      </c>
      <c r="J37">
        <v>0</v>
      </c>
      <c r="L37">
        <f t="shared" si="1"/>
        <v>-8</v>
      </c>
      <c r="M37">
        <f t="shared" si="2"/>
        <v>8</v>
      </c>
    </row>
    <row r="38" spans="1:13" x14ac:dyDescent="0.2">
      <c r="A38" t="s">
        <v>40</v>
      </c>
      <c r="B38" s="3">
        <f t="shared" si="0"/>
        <v>1.9264625736000001E-3</v>
      </c>
      <c r="D38" t="s">
        <v>22</v>
      </c>
      <c r="E38" t="s">
        <v>13</v>
      </c>
      <c r="F38" t="s">
        <v>21</v>
      </c>
      <c r="H38" s="1">
        <v>1.2843083824E-8</v>
      </c>
      <c r="I38">
        <v>4</v>
      </c>
      <c r="J38">
        <v>0</v>
      </c>
      <c r="L38">
        <f t="shared" si="1"/>
        <v>-8</v>
      </c>
      <c r="M38">
        <f t="shared" si="2"/>
        <v>8</v>
      </c>
    </row>
    <row r="39" spans="1:13" x14ac:dyDescent="0.2">
      <c r="A39" t="s">
        <v>28</v>
      </c>
      <c r="B39" s="3">
        <f t="shared" si="0"/>
        <v>9.8234999999999989E-2</v>
      </c>
      <c r="D39" t="s">
        <v>22</v>
      </c>
      <c r="E39" t="s">
        <v>13</v>
      </c>
      <c r="F39" t="s">
        <v>21</v>
      </c>
      <c r="H39" s="1">
        <v>6.5489999999999997E-7</v>
      </c>
      <c r="I39">
        <v>4</v>
      </c>
      <c r="J39">
        <v>0</v>
      </c>
      <c r="L39">
        <f t="shared" si="1"/>
        <v>-8</v>
      </c>
      <c r="M39">
        <f t="shared" si="2"/>
        <v>8</v>
      </c>
    </row>
    <row r="40" spans="1:13" x14ac:dyDescent="0.2">
      <c r="A40" t="s">
        <v>41</v>
      </c>
      <c r="B40" s="3">
        <f t="shared" si="0"/>
        <v>1.9845000000000002E-3</v>
      </c>
      <c r="D40" t="s">
        <v>22</v>
      </c>
      <c r="E40" t="s">
        <v>13</v>
      </c>
      <c r="F40" t="s">
        <v>21</v>
      </c>
      <c r="H40" s="1">
        <v>1.323E-8</v>
      </c>
      <c r="I40">
        <v>4</v>
      </c>
      <c r="J40">
        <v>0</v>
      </c>
      <c r="L40">
        <f t="shared" si="1"/>
        <v>-8</v>
      </c>
      <c r="M40">
        <f t="shared" si="2"/>
        <v>8</v>
      </c>
    </row>
    <row r="41" spans="1:13" x14ac:dyDescent="0.2">
      <c r="A41" t="s">
        <v>25</v>
      </c>
      <c r="B41" s="3">
        <f t="shared" si="0"/>
        <v>0.17760000000000001</v>
      </c>
      <c r="D41" t="s">
        <v>22</v>
      </c>
      <c r="E41" t="s">
        <v>13</v>
      </c>
      <c r="F41" t="s">
        <v>21</v>
      </c>
      <c r="H41" s="1">
        <v>1.184E-6</v>
      </c>
      <c r="I41">
        <v>4</v>
      </c>
      <c r="J41">
        <v>0</v>
      </c>
      <c r="L41">
        <f t="shared" si="1"/>
        <v>-8</v>
      </c>
      <c r="M41">
        <f t="shared" si="2"/>
        <v>8</v>
      </c>
    </row>
    <row r="42" spans="1:13" x14ac:dyDescent="0.2">
      <c r="A42" t="s">
        <v>36</v>
      </c>
      <c r="B42" s="3">
        <f t="shared" si="0"/>
        <v>9.922499999999999E-3</v>
      </c>
      <c r="D42" t="s">
        <v>22</v>
      </c>
      <c r="E42" t="s">
        <v>13</v>
      </c>
      <c r="F42" t="s">
        <v>21</v>
      </c>
      <c r="H42" s="1">
        <v>6.6149999999999993E-8</v>
      </c>
      <c r="I42">
        <v>4</v>
      </c>
      <c r="J42">
        <v>0</v>
      </c>
      <c r="L42">
        <f t="shared" si="1"/>
        <v>-8</v>
      </c>
      <c r="M42">
        <f t="shared" si="2"/>
        <v>8</v>
      </c>
    </row>
    <row r="43" spans="1:13" x14ac:dyDescent="0.2">
      <c r="A43" t="s">
        <v>35</v>
      </c>
      <c r="B43" s="3">
        <f t="shared" si="0"/>
        <v>0.59534999999999993</v>
      </c>
      <c r="D43" t="s">
        <v>22</v>
      </c>
      <c r="E43" t="s">
        <v>13</v>
      </c>
      <c r="F43" t="s">
        <v>21</v>
      </c>
      <c r="H43" s="1">
        <v>3.9689999999999996E-6</v>
      </c>
      <c r="I43">
        <v>4</v>
      </c>
      <c r="J43">
        <v>0</v>
      </c>
      <c r="L43">
        <f t="shared" si="1"/>
        <v>-8</v>
      </c>
      <c r="M43">
        <f t="shared" si="2"/>
        <v>8</v>
      </c>
    </row>
    <row r="44" spans="1:13" x14ac:dyDescent="0.2">
      <c r="A44" t="s">
        <v>68</v>
      </c>
      <c r="B44" s="3">
        <f t="shared" si="0"/>
        <v>1.0447194000000001E-4</v>
      </c>
      <c r="D44" t="s">
        <v>22</v>
      </c>
      <c r="E44" t="s">
        <v>13</v>
      </c>
      <c r="F44" t="s">
        <v>21</v>
      </c>
      <c r="H44" s="1">
        <v>6.9647960000000004E-10</v>
      </c>
      <c r="I44">
        <v>4</v>
      </c>
      <c r="J44">
        <v>0</v>
      </c>
      <c r="L44">
        <f t="shared" si="1"/>
        <v>-8</v>
      </c>
      <c r="M44">
        <f t="shared" si="2"/>
        <v>8</v>
      </c>
    </row>
    <row r="45" spans="1:13" x14ac:dyDescent="0.2">
      <c r="A45" t="s">
        <v>33</v>
      </c>
      <c r="B45" s="3">
        <f t="shared" si="0"/>
        <v>0.52235969999999998</v>
      </c>
      <c r="D45" t="s">
        <v>22</v>
      </c>
      <c r="E45" t="s">
        <v>13</v>
      </c>
      <c r="F45" t="s">
        <v>21</v>
      </c>
      <c r="H45" s="1">
        <v>3.4823979999999998E-6</v>
      </c>
      <c r="I45">
        <v>4</v>
      </c>
      <c r="J45">
        <v>0</v>
      </c>
      <c r="L45">
        <f t="shared" si="1"/>
        <v>-8</v>
      </c>
      <c r="M45">
        <f t="shared" si="2"/>
        <v>8</v>
      </c>
    </row>
    <row r="46" spans="1:13" x14ac:dyDescent="0.2">
      <c r="A46" t="s">
        <v>38</v>
      </c>
      <c r="B46" s="3">
        <f t="shared" si="0"/>
        <v>5.9535000000000005E-2</v>
      </c>
      <c r="D46" t="s">
        <v>22</v>
      </c>
      <c r="E46" t="s">
        <v>13</v>
      </c>
      <c r="F46" t="s">
        <v>21</v>
      </c>
      <c r="H46" s="1">
        <v>3.9690000000000001E-7</v>
      </c>
      <c r="I46">
        <v>4</v>
      </c>
      <c r="J46">
        <v>0</v>
      </c>
      <c r="L46">
        <f t="shared" si="1"/>
        <v>-8</v>
      </c>
      <c r="M46">
        <f t="shared" si="2"/>
        <v>8</v>
      </c>
    </row>
    <row r="47" spans="1:13" x14ac:dyDescent="0.2">
      <c r="A47" t="s">
        <v>69</v>
      </c>
      <c r="B47" s="3">
        <f t="shared" si="0"/>
        <v>3.2250000000000001E-2</v>
      </c>
      <c r="D47" t="s">
        <v>22</v>
      </c>
      <c r="E47" t="s">
        <v>13</v>
      </c>
      <c r="F47" t="s">
        <v>21</v>
      </c>
      <c r="H47" s="1">
        <v>2.1500000000000001E-7</v>
      </c>
      <c r="I47">
        <v>4</v>
      </c>
      <c r="J47">
        <v>0</v>
      </c>
      <c r="L47">
        <f t="shared" si="1"/>
        <v>-8</v>
      </c>
      <c r="M47">
        <f t="shared" si="2"/>
        <v>8</v>
      </c>
    </row>
    <row r="48" spans="1:13" x14ac:dyDescent="0.2">
      <c r="A48" t="s">
        <v>32</v>
      </c>
      <c r="B48" s="3">
        <f t="shared" si="0"/>
        <v>1.0447194E-6</v>
      </c>
      <c r="D48" t="s">
        <v>22</v>
      </c>
      <c r="E48" t="s">
        <v>13</v>
      </c>
      <c r="F48" t="s">
        <v>21</v>
      </c>
      <c r="H48" s="1">
        <v>6.9647959999999997E-12</v>
      </c>
      <c r="I48">
        <v>4</v>
      </c>
      <c r="J48">
        <v>0</v>
      </c>
      <c r="L48">
        <f t="shared" si="1"/>
        <v>-8</v>
      </c>
      <c r="M48">
        <f t="shared" si="2"/>
        <v>8</v>
      </c>
    </row>
    <row r="49" spans="1:13" x14ac:dyDescent="0.2">
      <c r="A49" t="s">
        <v>42</v>
      </c>
      <c r="B49" s="3">
        <f t="shared" si="0"/>
        <v>5.457E-3</v>
      </c>
      <c r="D49" t="s">
        <v>22</v>
      </c>
      <c r="E49" t="s">
        <v>13</v>
      </c>
      <c r="F49" t="s">
        <v>21</v>
      </c>
      <c r="H49" s="1">
        <v>3.6379999999999999E-8</v>
      </c>
      <c r="I49">
        <v>4</v>
      </c>
      <c r="J49">
        <v>0</v>
      </c>
      <c r="L49">
        <f t="shared" si="1"/>
        <v>-8</v>
      </c>
      <c r="M49">
        <f t="shared" si="2"/>
        <v>8</v>
      </c>
    </row>
    <row r="50" spans="1:13" x14ac:dyDescent="0.2">
      <c r="A50" t="s">
        <v>59</v>
      </c>
      <c r="B50" s="3">
        <f t="shared" si="0"/>
        <v>1.3396499999999999E-2</v>
      </c>
      <c r="D50" t="s">
        <v>22</v>
      </c>
      <c r="E50" t="s">
        <v>13</v>
      </c>
      <c r="F50" t="s">
        <v>21</v>
      </c>
      <c r="H50" s="1">
        <v>8.9309999999999997E-8</v>
      </c>
      <c r="I50">
        <v>4</v>
      </c>
      <c r="J50">
        <v>0</v>
      </c>
      <c r="L50">
        <f t="shared" si="1"/>
        <v>-8</v>
      </c>
      <c r="M50">
        <f t="shared" si="2"/>
        <v>8</v>
      </c>
    </row>
    <row r="51" spans="1:13" x14ac:dyDescent="0.2">
      <c r="A51" t="s">
        <v>23</v>
      </c>
      <c r="B51" s="3">
        <f t="shared" si="0"/>
        <v>0.32099999999999995</v>
      </c>
      <c r="D51" t="s">
        <v>22</v>
      </c>
      <c r="E51" t="s">
        <v>13</v>
      </c>
      <c r="F51" t="s">
        <v>21</v>
      </c>
      <c r="H51" s="1">
        <v>2.1399999999999998E-6</v>
      </c>
      <c r="I51">
        <v>4</v>
      </c>
      <c r="J51">
        <v>0</v>
      </c>
      <c r="L51">
        <f t="shared" si="1"/>
        <v>-8</v>
      </c>
      <c r="M51">
        <f t="shared" si="2"/>
        <v>8</v>
      </c>
    </row>
    <row r="52" spans="1:13" x14ac:dyDescent="0.2">
      <c r="A52" t="s">
        <v>39</v>
      </c>
      <c r="B52" s="3">
        <f t="shared" si="0"/>
        <v>101.589</v>
      </c>
      <c r="D52" t="s">
        <v>22</v>
      </c>
      <c r="E52" t="s">
        <v>13</v>
      </c>
      <c r="F52" t="s">
        <v>21</v>
      </c>
      <c r="H52">
        <v>6.7725999999999995E-4</v>
      </c>
      <c r="I52">
        <v>4</v>
      </c>
      <c r="J52">
        <v>0</v>
      </c>
      <c r="L52">
        <f t="shared" si="1"/>
        <v>-8</v>
      </c>
      <c r="M52">
        <f t="shared" si="2"/>
        <v>8</v>
      </c>
    </row>
    <row r="53" spans="1:13" x14ac:dyDescent="0.2">
      <c r="A53" t="s">
        <v>70</v>
      </c>
      <c r="B53" s="3">
        <f t="shared" si="0"/>
        <v>2.0894388000000001E-7</v>
      </c>
      <c r="D53" t="s">
        <v>22</v>
      </c>
      <c r="E53" t="s">
        <v>13</v>
      </c>
      <c r="F53" t="s">
        <v>21</v>
      </c>
      <c r="H53" s="1">
        <v>1.3929592000000001E-12</v>
      </c>
      <c r="I53">
        <v>4</v>
      </c>
      <c r="J53">
        <v>0</v>
      </c>
      <c r="L53">
        <f t="shared" si="1"/>
        <v>-8</v>
      </c>
      <c r="M53">
        <f t="shared" si="2"/>
        <v>8</v>
      </c>
    </row>
    <row r="54" spans="1:13" x14ac:dyDescent="0.2">
      <c r="A54" t="s">
        <v>71</v>
      </c>
      <c r="B54" s="3">
        <f t="shared" si="0"/>
        <v>0.17864999999999998</v>
      </c>
      <c r="D54" t="s">
        <v>22</v>
      </c>
      <c r="E54" t="s">
        <v>13</v>
      </c>
      <c r="F54" t="s">
        <v>21</v>
      </c>
      <c r="H54" s="1">
        <v>1.1909999999999999E-6</v>
      </c>
      <c r="I54">
        <v>4</v>
      </c>
      <c r="J54">
        <v>0</v>
      </c>
      <c r="L54">
        <f t="shared" si="1"/>
        <v>-8</v>
      </c>
      <c r="M54">
        <f t="shared" si="2"/>
        <v>8</v>
      </c>
    </row>
    <row r="55" spans="1:13" x14ac:dyDescent="0.2">
      <c r="A55" t="s">
        <v>24</v>
      </c>
      <c r="B55" s="3">
        <f t="shared" si="0"/>
        <v>0.14585999999999999</v>
      </c>
      <c r="D55" t="s">
        <v>22</v>
      </c>
      <c r="E55" t="s">
        <v>13</v>
      </c>
      <c r="F55" t="s">
        <v>21</v>
      </c>
      <c r="H55" s="1">
        <v>9.724E-7</v>
      </c>
      <c r="I55">
        <v>4</v>
      </c>
      <c r="J55">
        <v>0</v>
      </c>
      <c r="L55">
        <f t="shared" si="1"/>
        <v>-8</v>
      </c>
      <c r="M55">
        <f t="shared" si="2"/>
        <v>8</v>
      </c>
    </row>
    <row r="56" spans="1:13" x14ac:dyDescent="0.2">
      <c r="A56" t="s">
        <v>72</v>
      </c>
      <c r="B56" s="3">
        <f t="shared" si="0"/>
        <v>0.28719</v>
      </c>
      <c r="D56" t="s">
        <v>22</v>
      </c>
      <c r="E56" t="s">
        <v>13</v>
      </c>
      <c r="F56" t="s">
        <v>21</v>
      </c>
      <c r="H56" s="1">
        <v>1.9145999999999998E-6</v>
      </c>
      <c r="I56">
        <v>4</v>
      </c>
      <c r="J56">
        <v>0</v>
      </c>
      <c r="L56">
        <f t="shared" si="1"/>
        <v>-8</v>
      </c>
      <c r="M56">
        <f t="shared" si="2"/>
        <v>8</v>
      </c>
    </row>
    <row r="57" spans="1:13" x14ac:dyDescent="0.2">
      <c r="A57" t="s">
        <v>73</v>
      </c>
      <c r="B57" s="3">
        <f t="shared" si="0"/>
        <v>1.0447194E-2</v>
      </c>
      <c r="D57" t="s">
        <v>22</v>
      </c>
      <c r="E57" t="s">
        <v>13</v>
      </c>
      <c r="F57" t="s">
        <v>21</v>
      </c>
      <c r="H57" s="1">
        <v>6.9647960000000003E-8</v>
      </c>
      <c r="I57">
        <v>4</v>
      </c>
      <c r="J57">
        <v>0</v>
      </c>
      <c r="L57">
        <f t="shared" si="1"/>
        <v>-8</v>
      </c>
      <c r="M57">
        <f t="shared" si="2"/>
        <v>8</v>
      </c>
    </row>
    <row r="58" spans="1:13" x14ac:dyDescent="0.2">
      <c r="A58" t="s">
        <v>29</v>
      </c>
      <c r="B58" s="3">
        <f t="shared" si="0"/>
        <v>5.457E-3</v>
      </c>
      <c r="D58" t="s">
        <v>22</v>
      </c>
      <c r="E58" t="s">
        <v>13</v>
      </c>
      <c r="F58" t="s">
        <v>21</v>
      </c>
      <c r="H58" s="1">
        <v>3.6379999999999999E-8</v>
      </c>
      <c r="I58">
        <v>4</v>
      </c>
      <c r="J58">
        <v>0</v>
      </c>
      <c r="L58">
        <f t="shared" si="1"/>
        <v>-8</v>
      </c>
      <c r="M58">
        <f t="shared" si="2"/>
        <v>8</v>
      </c>
    </row>
    <row r="59" spans="1:13" x14ac:dyDescent="0.2">
      <c r="A59" t="s">
        <v>46</v>
      </c>
      <c r="B59" s="3">
        <f t="shared" si="0"/>
        <v>3.0269999999999998E-2</v>
      </c>
      <c r="D59" t="s">
        <v>22</v>
      </c>
      <c r="E59" t="s">
        <v>13</v>
      </c>
      <c r="F59" t="s">
        <v>21</v>
      </c>
      <c r="H59" s="1">
        <v>2.0179999999999999E-7</v>
      </c>
      <c r="I59">
        <v>4</v>
      </c>
      <c r="J59">
        <v>0</v>
      </c>
      <c r="L59">
        <f t="shared" si="1"/>
        <v>-8</v>
      </c>
      <c r="M59">
        <f t="shared" si="2"/>
        <v>8</v>
      </c>
    </row>
    <row r="61" spans="1:13" s="2" customFormat="1" x14ac:dyDescent="0.2">
      <c r="A61" s="2" t="s">
        <v>1</v>
      </c>
      <c r="B61" s="2" t="str">
        <f>A71</f>
        <v>transport, passenger, car, battery electric</v>
      </c>
    </row>
    <row r="62" spans="1:13" x14ac:dyDescent="0.2">
      <c r="A62" t="s">
        <v>4</v>
      </c>
      <c r="B62" t="str">
        <f>G71</f>
        <v>transport, passenger, car</v>
      </c>
    </row>
    <row r="63" spans="1:13" x14ac:dyDescent="0.2">
      <c r="A63" t="s">
        <v>2</v>
      </c>
      <c r="B63" t="str">
        <f>C71</f>
        <v>RER</v>
      </c>
    </row>
    <row r="64" spans="1:13" x14ac:dyDescent="0.2">
      <c r="A64" t="s">
        <v>6</v>
      </c>
      <c r="B64" t="str">
        <f>E71</f>
        <v>kilometer</v>
      </c>
    </row>
    <row r="65" spans="1:14" x14ac:dyDescent="0.2">
      <c r="A65" t="s">
        <v>92</v>
      </c>
      <c r="B65">
        <v>150000</v>
      </c>
    </row>
    <row r="66" spans="1:14" x14ac:dyDescent="0.2">
      <c r="A66" t="s">
        <v>94</v>
      </c>
      <c r="B66">
        <v>16</v>
      </c>
    </row>
    <row r="67" spans="1:14" x14ac:dyDescent="0.2">
      <c r="A67" t="s">
        <v>95</v>
      </c>
      <c r="B67">
        <v>8</v>
      </c>
    </row>
    <row r="68" spans="1:14" x14ac:dyDescent="0.2">
      <c r="A68" t="s">
        <v>7</v>
      </c>
      <c r="B68" t="s">
        <v>105</v>
      </c>
    </row>
    <row r="69" spans="1:14" x14ac:dyDescent="0.2">
      <c r="A69" s="2" t="s">
        <v>8</v>
      </c>
    </row>
    <row r="70" spans="1:14" s="2" customFormat="1" x14ac:dyDescent="0.2">
      <c r="A70" s="2" t="s">
        <v>9</v>
      </c>
      <c r="B70" s="2" t="s">
        <v>10</v>
      </c>
      <c r="C70" s="2" t="s">
        <v>2</v>
      </c>
      <c r="D70" s="2" t="s">
        <v>11</v>
      </c>
      <c r="E70" s="2" t="s">
        <v>6</v>
      </c>
      <c r="F70" s="2" t="s">
        <v>5</v>
      </c>
      <c r="G70" s="2" t="s">
        <v>4</v>
      </c>
      <c r="H70" s="2" t="s">
        <v>93</v>
      </c>
      <c r="I70" s="2" t="s">
        <v>86</v>
      </c>
      <c r="J70" s="2" t="s">
        <v>87</v>
      </c>
      <c r="K70" s="2" t="s">
        <v>88</v>
      </c>
      <c r="L70" s="2" t="s">
        <v>89</v>
      </c>
      <c r="M70" s="2" t="s">
        <v>90</v>
      </c>
      <c r="N70" s="2" t="s">
        <v>91</v>
      </c>
    </row>
    <row r="71" spans="1:14" x14ac:dyDescent="0.2">
      <c r="A71" t="s">
        <v>84</v>
      </c>
      <c r="B71">
        <v>1</v>
      </c>
      <c r="C71" t="s">
        <v>16</v>
      </c>
      <c r="E71" t="s">
        <v>20</v>
      </c>
      <c r="F71" t="s">
        <v>12</v>
      </c>
      <c r="G71" t="s">
        <v>85</v>
      </c>
    </row>
    <row r="72" spans="1:14" x14ac:dyDescent="0.2">
      <c r="A72" t="s">
        <v>76</v>
      </c>
      <c r="B72" s="3">
        <f t="shared" ref="B72:B80" si="3">$B$65*H72</f>
        <v>-393</v>
      </c>
      <c r="C72" t="s">
        <v>3</v>
      </c>
      <c r="E72" t="s">
        <v>13</v>
      </c>
      <c r="F72" t="s">
        <v>14</v>
      </c>
      <c r="G72" t="s">
        <v>77</v>
      </c>
      <c r="H72">
        <v>-2.6199999999999999E-3</v>
      </c>
      <c r="I72">
        <v>2</v>
      </c>
      <c r="J72">
        <v>10</v>
      </c>
      <c r="K72">
        <v>0.3</v>
      </c>
      <c r="L72">
        <v>1</v>
      </c>
      <c r="M72">
        <v>16</v>
      </c>
    </row>
    <row r="73" spans="1:14" x14ac:dyDescent="0.2">
      <c r="A73" t="s">
        <v>49</v>
      </c>
      <c r="B73" s="3">
        <f t="shared" si="3"/>
        <v>-0.15755937</v>
      </c>
      <c r="C73" t="s">
        <v>3</v>
      </c>
      <c r="E73" t="s">
        <v>13</v>
      </c>
      <c r="F73" t="s">
        <v>14</v>
      </c>
      <c r="G73" t="s">
        <v>50</v>
      </c>
      <c r="H73" s="1">
        <v>-1.0503957999999999E-6</v>
      </c>
      <c r="I73">
        <v>4</v>
      </c>
      <c r="J73">
        <v>0</v>
      </c>
      <c r="L73">
        <f>$B$9-$B$8</f>
        <v>-8</v>
      </c>
      <c r="M73">
        <f>$B$8-$B$9</f>
        <v>8</v>
      </c>
    </row>
    <row r="74" spans="1:14" x14ac:dyDescent="0.2">
      <c r="A74" t="s">
        <v>55</v>
      </c>
      <c r="B74" s="3">
        <f t="shared" si="3"/>
        <v>-1.73315307</v>
      </c>
      <c r="C74" t="s">
        <v>3</v>
      </c>
      <c r="E74" t="s">
        <v>13</v>
      </c>
      <c r="F74" t="s">
        <v>14</v>
      </c>
      <c r="G74" t="s">
        <v>56</v>
      </c>
      <c r="H74" s="1">
        <v>-1.15543538E-5</v>
      </c>
      <c r="I74">
        <v>4</v>
      </c>
      <c r="J74">
        <v>0</v>
      </c>
      <c r="L74">
        <f>$B$9-$B$8</f>
        <v>-8</v>
      </c>
      <c r="M74">
        <f>$B$8-$B$9</f>
        <v>8</v>
      </c>
    </row>
    <row r="75" spans="1:14" x14ac:dyDescent="0.2">
      <c r="A75" t="s">
        <v>57</v>
      </c>
      <c r="B75" s="3">
        <f t="shared" si="3"/>
        <v>-10.135139250000002</v>
      </c>
      <c r="C75" t="s">
        <v>3</v>
      </c>
      <c r="E75" t="s">
        <v>13</v>
      </c>
      <c r="F75" t="s">
        <v>14</v>
      </c>
      <c r="G75" t="s">
        <v>58</v>
      </c>
      <c r="H75" s="1">
        <v>-6.7567595000000006E-5</v>
      </c>
      <c r="I75">
        <v>4</v>
      </c>
      <c r="J75">
        <v>0</v>
      </c>
      <c r="L75">
        <f>$B$9-$B$8</f>
        <v>-8</v>
      </c>
      <c r="M75">
        <f>$B$8-$B$9</f>
        <v>8</v>
      </c>
    </row>
    <row r="76" spans="1:14" x14ac:dyDescent="0.2">
      <c r="A76" t="s">
        <v>78</v>
      </c>
      <c r="B76" s="3">
        <f t="shared" si="3"/>
        <v>1.0000000000000004</v>
      </c>
      <c r="C76" t="s">
        <v>3</v>
      </c>
      <c r="E76" t="s">
        <v>6</v>
      </c>
      <c r="F76" t="s">
        <v>14</v>
      </c>
      <c r="G76" t="s">
        <v>79</v>
      </c>
      <c r="H76" s="1">
        <v>6.66666666666667E-6</v>
      </c>
      <c r="I76">
        <v>4</v>
      </c>
      <c r="J76">
        <v>0</v>
      </c>
      <c r="L76">
        <f>$B$9-$B$8</f>
        <v>-8</v>
      </c>
      <c r="M76">
        <f>$B$8-$B$9</f>
        <v>8</v>
      </c>
    </row>
    <row r="77" spans="1:14" x14ac:dyDescent="0.2">
      <c r="A77" t="s">
        <v>17</v>
      </c>
      <c r="B77" s="3">
        <f t="shared" si="3"/>
        <v>29850</v>
      </c>
      <c r="C77" t="s">
        <v>16</v>
      </c>
      <c r="E77" t="s">
        <v>18</v>
      </c>
      <c r="F77" t="s">
        <v>14</v>
      </c>
      <c r="G77" t="s">
        <v>19</v>
      </c>
      <c r="H77">
        <v>0.19900000000000001</v>
      </c>
      <c r="I77">
        <v>4</v>
      </c>
      <c r="J77">
        <v>0</v>
      </c>
      <c r="L77">
        <f>$B$9-$B$8</f>
        <v>-8</v>
      </c>
      <c r="M77">
        <f>$B$8-$B$9</f>
        <v>8</v>
      </c>
    </row>
    <row r="78" spans="1:14" x14ac:dyDescent="0.2">
      <c r="A78" t="s">
        <v>98</v>
      </c>
      <c r="B78" s="3">
        <f t="shared" si="3"/>
        <v>73.122</v>
      </c>
      <c r="C78" t="s">
        <v>15</v>
      </c>
      <c r="E78" t="s">
        <v>51</v>
      </c>
      <c r="F78" t="s">
        <v>14</v>
      </c>
      <c r="G78" t="s">
        <v>52</v>
      </c>
      <c r="H78">
        <v>4.8747999999999999E-4</v>
      </c>
      <c r="I78">
        <v>4</v>
      </c>
      <c r="J78">
        <v>-20</v>
      </c>
      <c r="L78">
        <v>-40</v>
      </c>
      <c r="M78">
        <v>-1</v>
      </c>
    </row>
    <row r="79" spans="1:14" x14ac:dyDescent="0.2">
      <c r="A79" t="s">
        <v>97</v>
      </c>
      <c r="B79" s="3">
        <f t="shared" si="3"/>
        <v>918.22000000000048</v>
      </c>
      <c r="C79" t="s">
        <v>3</v>
      </c>
      <c r="E79" t="s">
        <v>13</v>
      </c>
      <c r="F79" t="s">
        <v>14</v>
      </c>
      <c r="G79" t="s">
        <v>80</v>
      </c>
      <c r="H79">
        <v>6.1214666666666697E-3</v>
      </c>
      <c r="I79">
        <v>2</v>
      </c>
      <c r="J79">
        <f>-1*$B$67</f>
        <v>-8</v>
      </c>
      <c r="K79">
        <v>0.1</v>
      </c>
      <c r="L79">
        <f>-1*B66</f>
        <v>-16</v>
      </c>
      <c r="M79">
        <v>-1</v>
      </c>
    </row>
    <row r="80" spans="1:14" x14ac:dyDescent="0.2">
      <c r="A80" t="s">
        <v>81</v>
      </c>
      <c r="B80" s="3">
        <f t="shared" si="3"/>
        <v>393</v>
      </c>
      <c r="C80" t="s">
        <v>3</v>
      </c>
      <c r="E80" t="s">
        <v>13</v>
      </c>
      <c r="F80" t="s">
        <v>14</v>
      </c>
      <c r="G80" t="s">
        <v>82</v>
      </c>
      <c r="H80">
        <v>2.6199999999999999E-3</v>
      </c>
      <c r="I80">
        <v>2</v>
      </c>
      <c r="J80">
        <f>-1*$B$67</f>
        <v>-8</v>
      </c>
      <c r="K80">
        <v>0.1</v>
      </c>
      <c r="L80">
        <f>-1*B66</f>
        <v>-16</v>
      </c>
      <c r="M80">
        <v>-1</v>
      </c>
    </row>
    <row r="81" spans="8:8" x14ac:dyDescent="0.2">
      <c r="H81" s="1"/>
    </row>
    <row r="82" spans="8:8" x14ac:dyDescent="0.2">
      <c r="H82" s="1"/>
    </row>
    <row r="83" spans="8:8" x14ac:dyDescent="0.2">
      <c r="H83" s="1"/>
    </row>
    <row r="84" spans="8:8" x14ac:dyDescent="0.2">
      <c r="H84" s="1"/>
    </row>
    <row r="85" spans="8:8" x14ac:dyDescent="0.2">
      <c r="H85" s="1"/>
    </row>
    <row r="86" spans="8:8" x14ac:dyDescent="0.2">
      <c r="H86" s="1"/>
    </row>
    <row r="87" spans="8:8" x14ac:dyDescent="0.2">
      <c r="H87" s="1"/>
    </row>
    <row r="88" spans="8:8" x14ac:dyDescent="0.2">
      <c r="H88" s="1"/>
    </row>
    <row r="89" spans="8:8" x14ac:dyDescent="0.2">
      <c r="H89" s="1"/>
    </row>
    <row r="90" spans="8:8" x14ac:dyDescent="0.2">
      <c r="H90" s="1"/>
    </row>
    <row r="91" spans="8:8" x14ac:dyDescent="0.2">
      <c r="H91" s="1"/>
    </row>
    <row r="92" spans="8:8" x14ac:dyDescent="0.2">
      <c r="H92" s="1"/>
    </row>
    <row r="93" spans="8:8" x14ac:dyDescent="0.2">
      <c r="H93" s="1"/>
    </row>
    <row r="94" spans="8:8" x14ac:dyDescent="0.2">
      <c r="H94" s="1"/>
    </row>
    <row r="96" spans="8:8" x14ac:dyDescent="0.2">
      <c r="H96" s="1"/>
    </row>
    <row r="97" spans="8:8" x14ac:dyDescent="0.2">
      <c r="H97" s="1"/>
    </row>
    <row r="98" spans="8:8" x14ac:dyDescent="0.2">
      <c r="H98" s="1"/>
    </row>
    <row r="99" spans="8:8" x14ac:dyDescent="0.2">
      <c r="H99" s="1"/>
    </row>
    <row r="100" spans="8:8" x14ac:dyDescent="0.2">
      <c r="H100" s="1"/>
    </row>
    <row r="101" spans="8:8" x14ac:dyDescent="0.2">
      <c r="H101" s="1"/>
    </row>
    <row r="102" spans="8:8" x14ac:dyDescent="0.2">
      <c r="H102" s="1"/>
    </row>
    <row r="103" spans="8:8" x14ac:dyDescent="0.2">
      <c r="H103" s="1"/>
    </row>
    <row r="104" spans="8:8" x14ac:dyDescent="0.2">
      <c r="H104" s="1"/>
    </row>
    <row r="105" spans="8:8" x14ac:dyDescent="0.2">
      <c r="H105" s="1"/>
    </row>
    <row r="106" spans="8:8" x14ac:dyDescent="0.2">
      <c r="H106" s="1"/>
    </row>
    <row r="107" spans="8:8" x14ac:dyDescent="0.2">
      <c r="H107" s="1"/>
    </row>
    <row r="108" spans="8:8" x14ac:dyDescent="0.2">
      <c r="H108" s="1"/>
    </row>
    <row r="109" spans="8:8" x14ac:dyDescent="0.2">
      <c r="H109" s="1"/>
    </row>
    <row r="111" spans="8:8" x14ac:dyDescent="0.2">
      <c r="H111" s="1"/>
    </row>
    <row r="112" spans="8:8" x14ac:dyDescent="0.2">
      <c r="H112" s="1"/>
    </row>
    <row r="113" spans="8:8" x14ac:dyDescent="0.2">
      <c r="H113" s="1"/>
    </row>
    <row r="114" spans="8:8" x14ac:dyDescent="0.2">
      <c r="H114" s="1"/>
    </row>
    <row r="115" spans="8:8" x14ac:dyDescent="0.2">
      <c r="H115" s="1"/>
    </row>
    <row r="116" spans="8:8" x14ac:dyDescent="0.2">
      <c r="H116" s="1"/>
    </row>
    <row r="117" spans="8:8" x14ac:dyDescent="0.2">
      <c r="H117" s="1"/>
    </row>
  </sheetData>
  <pageMargins left="0.75" right="0.75" top="1" bottom="1" header="0.5" footer="0.5"/>
  <ignoredErrors>
    <ignoredError sqref="L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76FE-44EF-5B45-94D8-BBE1EF40767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C105-C6C4-0C43-B446-11A21C4C2EC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passenger cars</vt:lpstr>
      <vt:lpstr>biomass</vt:lpstr>
      <vt:lpstr>daccs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2026-02-07T13:43:55Z</dcterms:created>
  <dcterms:modified xsi:type="dcterms:W3CDTF">2026-02-10T16:30:25Z</dcterms:modified>
</cp:coreProperties>
</file>