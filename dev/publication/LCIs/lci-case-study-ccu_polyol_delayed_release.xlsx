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romain/GitHub/trails/dev/publication/LCIs/"/>
    </mc:Choice>
  </mc:AlternateContent>
  <xr:revisionPtr revIDLastSave="0" documentId="13_ncr:1_{6FAAD224-F4C3-B74B-B322-CD7B31ECBAD8}" xr6:coauthVersionLast="47" xr6:coauthVersionMax="47" xr10:uidLastSave="{00000000-0000-0000-0000-000000000000}"/>
  <bookViews>
    <workbookView xWindow="4680" yWindow="660" windowWidth="25820" windowHeight="18980" xr2:uid="{00000000-000D-0000-FFFF-FFFF00000000}"/>
  </bookViews>
  <sheets>
    <sheet name="ccu delayed releas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9" i="1" l="1"/>
  <c r="B12" i="1"/>
  <c r="K32" i="1"/>
  <c r="A12" i="1"/>
  <c r="B36" i="1"/>
</calcChain>
</file>

<file path=xl/sharedStrings.xml><?xml version="1.0" encoding="utf-8"?>
<sst xmlns="http://schemas.openxmlformats.org/spreadsheetml/2006/main" count="148" uniqueCount="71">
  <si>
    <t>Database</t>
  </si>
  <si>
    <t>lci-trails</t>
  </si>
  <si>
    <t>Activity</t>
  </si>
  <si>
    <t>reference product</t>
  </si>
  <si>
    <t>polyol precursor</t>
  </si>
  <si>
    <t>location</t>
  </si>
  <si>
    <t>RER</t>
  </si>
  <si>
    <t>unit</t>
  </si>
  <si>
    <t>kilogram</t>
  </si>
  <si>
    <t>lifetime [year]</t>
  </si>
  <si>
    <t>production volume over lifetime [kg]</t>
  </si>
  <si>
    <t>comment</t>
  </si>
  <si>
    <t>CCU case with captured CO2 input and delayed end-of-life carbon release to illustrate temporary carbon storage effects.</t>
  </si>
  <si>
    <t>Exchanges</t>
  </si>
  <si>
    <t>name</t>
  </si>
  <si>
    <t>amount</t>
  </si>
  <si>
    <t>categories</t>
  </si>
  <si>
    <t>type</t>
  </si>
  <si>
    <t>temporal_distribution</t>
  </si>
  <si>
    <t>temporal_loc</t>
  </si>
  <si>
    <t>temporal_scale</t>
  </si>
  <si>
    <t>temporal_min</t>
  </si>
  <si>
    <t>temporal_max</t>
  </si>
  <si>
    <t>temporal_offsets</t>
  </si>
  <si>
    <t>temporal_weights</t>
  </si>
  <si>
    <t>temporal_amount_source</t>
  </si>
  <si>
    <t>production</t>
  </si>
  <si>
    <t>Reference production exchange.</t>
  </si>
  <si>
    <t>technosphere</t>
  </si>
  <si>
    <t>chemical factory</t>
  </si>
  <si>
    <t>Factory build up.</t>
  </si>
  <si>
    <t>carbon dioxide, captured, with a solvent-based direct air capture system, 1MtCO2</t>
  </si>
  <si>
    <t>Europe</t>
  </si>
  <si>
    <t>carbon dioxide, captured</t>
  </si>
  <si>
    <t>Captured CO2 is supplied before and during polymerization startup.</t>
  </si>
  <si>
    <t>market group for electricity, medium voltage</t>
  </si>
  <si>
    <t>kilowatt hour</t>
  </si>
  <si>
    <t>electricity, medium voltage</t>
  </si>
  <si>
    <t>Process electricity spans commissioning and early operation period.</t>
  </si>
  <si>
    <t>market for propylene oxide, liquid</t>
  </si>
  <si>
    <t>propylene oxide, liquid</t>
  </si>
  <si>
    <t>Epoxide input.</t>
  </si>
  <si>
    <t>market for glycerine</t>
  </si>
  <si>
    <t>glycerine</t>
  </si>
  <si>
    <t>Auxiliary reactant and solvent use concentrated around production years.</t>
  </si>
  <si>
    <t>market for tap water</t>
  </si>
  <si>
    <t>Europe without Switzerland</t>
  </si>
  <si>
    <t>tap water</t>
  </si>
  <si>
    <t>Cooling and washing water for the production stage.</t>
  </si>
  <si>
    <t>treatment of polyol, incineration</t>
  </si>
  <si>
    <t>Polyol incineration</t>
  </si>
  <si>
    <t>Carbon dioxide, non-fossil</t>
  </si>
  <si>
    <t>air::non-urban air or from high stacks</t>
  </si>
  <si>
    <t>biosphere</t>
  </si>
  <si>
    <t>Process-related fossil CO2 released near manufacturing years.</t>
  </si>
  <si>
    <t>Methane, fossil</t>
  </si>
  <si>
    <t>Upstream methane from energy and feedstock supply with long-tail residuals.</t>
  </si>
  <si>
    <t>Incineration of polyol produced from atmospheric CO2.</t>
  </si>
  <si>
    <t>market for transport, freight, lorry, unspecified</t>
  </si>
  <si>
    <t>ton kilometer</t>
  </si>
  <si>
    <t>transport, freight, lorry, diesel, unspecified</t>
  </si>
  <si>
    <t>municipal waste incineration facility construction</t>
  </si>
  <si>
    <t>RoW</t>
  </si>
  <si>
    <t>municipal waste incineration facility</t>
  </si>
  <si>
    <t>Water</t>
  </si>
  <si>
    <t>Oxygen</t>
  </si>
  <si>
    <t>natural resource::in air</t>
  </si>
  <si>
    <t>Carbon dioxide, fossil</t>
  </si>
  <si>
    <t>polyol precursor production from captured CO2</t>
  </si>
  <si>
    <t>polyol, incinerated</t>
  </si>
  <si>
    <t>chemical factory construction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</si>
</sst>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 * #,##0_ ;_ * \-#,##0_ ;_ * &quot;-&quot;??_ ;_ @_ 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/>
  </cellStyleXfs>
  <cellXfs count="4">
    <xf numFmtId="0" fontId="0" fillId="0" borderId="0" xfId="0"/>
    <xf numFmtId="0" fontId="2" fillId="0" borderId="0" xfId="0" applyFont="1"/>
    <xf numFmtId="164" fontId="0" fillId="0" borderId="0" xfId="1" applyNumberFormat="1" applyFont="1"/>
    <xf numFmtId="164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8"/>
  <sheetViews>
    <sheetView tabSelected="1" workbookViewId="0">
      <selection activeCell="H13" sqref="H13"/>
    </sheetView>
  </sheetViews>
  <sheetFormatPr baseColWidth="10" defaultColWidth="8.83203125" defaultRowHeight="15" x14ac:dyDescent="0.2"/>
  <cols>
    <col min="1" max="1" width="53.6640625" customWidth="1"/>
    <col min="2" max="2" width="17" bestFit="1" customWidth="1"/>
    <col min="10" max="10" width="11.5" bestFit="1" customWidth="1"/>
    <col min="15" max="15" width="12.1640625" bestFit="1" customWidth="1"/>
    <col min="16" max="16" width="12.33203125" bestFit="1" customWidth="1"/>
  </cols>
  <sheetData>
    <row r="1" spans="1:20" x14ac:dyDescent="0.2">
      <c r="A1" t="s">
        <v>0</v>
      </c>
      <c r="B1" t="s">
        <v>1</v>
      </c>
    </row>
    <row r="3" spans="1:20" s="1" customFormat="1" x14ac:dyDescent="0.2">
      <c r="A3" s="1" t="s">
        <v>2</v>
      </c>
      <c r="B3" s="1" t="s">
        <v>68</v>
      </c>
    </row>
    <row r="4" spans="1:20" x14ac:dyDescent="0.2">
      <c r="A4" t="s">
        <v>3</v>
      </c>
      <c r="B4" t="s">
        <v>4</v>
      </c>
    </row>
    <row r="5" spans="1:20" x14ac:dyDescent="0.2">
      <c r="A5" t="s">
        <v>5</v>
      </c>
      <c r="B5" t="s">
        <v>6</v>
      </c>
    </row>
    <row r="6" spans="1:20" x14ac:dyDescent="0.2">
      <c r="A6" t="s">
        <v>7</v>
      </c>
      <c r="B6" t="s">
        <v>8</v>
      </c>
    </row>
    <row r="7" spans="1:20" x14ac:dyDescent="0.2">
      <c r="A7" t="s">
        <v>9</v>
      </c>
      <c r="B7">
        <v>50</v>
      </c>
    </row>
    <row r="8" spans="1:20" x14ac:dyDescent="0.2">
      <c r="A8" t="s">
        <v>10</v>
      </c>
      <c r="B8" s="2">
        <v>50000000000</v>
      </c>
    </row>
    <row r="9" spans="1:20" x14ac:dyDescent="0.2">
      <c r="A9" t="s">
        <v>11</v>
      </c>
      <c r="B9" t="s">
        <v>12</v>
      </c>
    </row>
    <row r="10" spans="1:20" x14ac:dyDescent="0.2">
      <c r="A10" t="s">
        <v>13</v>
      </c>
    </row>
    <row r="11" spans="1:20" s="1" customFormat="1" x14ac:dyDescent="0.2">
      <c r="A11" s="1" t="s">
        <v>14</v>
      </c>
      <c r="B11" s="1" t="s">
        <v>15</v>
      </c>
      <c r="C11" s="1">
        <v>2020</v>
      </c>
      <c r="D11" s="1">
        <v>2040</v>
      </c>
      <c r="E11" s="1">
        <v>2060</v>
      </c>
      <c r="F11" s="1">
        <v>2080</v>
      </c>
      <c r="G11" s="1" t="s">
        <v>5</v>
      </c>
      <c r="H11" s="1" t="s">
        <v>16</v>
      </c>
      <c r="I11" s="1" t="s">
        <v>7</v>
      </c>
      <c r="J11" s="1" t="s">
        <v>17</v>
      </c>
      <c r="K11" s="1" t="s">
        <v>3</v>
      </c>
      <c r="L11" s="1" t="s">
        <v>18</v>
      </c>
      <c r="M11" s="1" t="s">
        <v>19</v>
      </c>
      <c r="N11" s="1" t="s">
        <v>20</v>
      </c>
      <c r="O11" s="1" t="s">
        <v>21</v>
      </c>
      <c r="P11" s="1" t="s">
        <v>22</v>
      </c>
      <c r="Q11" s="1" t="s">
        <v>23</v>
      </c>
      <c r="R11" s="1" t="s">
        <v>24</v>
      </c>
      <c r="S11" s="1" t="s">
        <v>25</v>
      </c>
      <c r="T11" s="1" t="s">
        <v>11</v>
      </c>
    </row>
    <row r="12" spans="1:20" x14ac:dyDescent="0.2">
      <c r="A12" t="str">
        <f>B3</f>
        <v>polyol precursor production from captured CO2</v>
      </c>
      <c r="B12" s="3">
        <f>B8</f>
        <v>50000000000</v>
      </c>
      <c r="G12" t="s">
        <v>6</v>
      </c>
      <c r="I12" t="s">
        <v>8</v>
      </c>
      <c r="J12" t="s">
        <v>26</v>
      </c>
      <c r="K12" t="s">
        <v>4</v>
      </c>
      <c r="T12" t="s">
        <v>27</v>
      </c>
    </row>
    <row r="13" spans="1:20" x14ac:dyDescent="0.2">
      <c r="A13" t="s">
        <v>70</v>
      </c>
      <c r="B13">
        <v>1</v>
      </c>
      <c r="G13" t="s">
        <v>6</v>
      </c>
      <c r="I13" t="s">
        <v>7</v>
      </c>
      <c r="J13" t="s">
        <v>28</v>
      </c>
      <c r="K13" t="s">
        <v>29</v>
      </c>
      <c r="L13">
        <v>4</v>
      </c>
      <c r="O13">
        <v>-3</v>
      </c>
      <c r="P13">
        <v>-1</v>
      </c>
      <c r="T13" t="s">
        <v>30</v>
      </c>
    </row>
    <row r="14" spans="1:20" x14ac:dyDescent="0.2">
      <c r="A14" t="s">
        <v>31</v>
      </c>
      <c r="B14" s="2">
        <v>10000000000</v>
      </c>
      <c r="G14" t="s">
        <v>32</v>
      </c>
      <c r="I14" t="s">
        <v>8</v>
      </c>
      <c r="J14" t="s">
        <v>28</v>
      </c>
      <c r="K14" t="s">
        <v>33</v>
      </c>
      <c r="L14">
        <v>4</v>
      </c>
      <c r="O14">
        <v>0</v>
      </c>
      <c r="P14">
        <v>50</v>
      </c>
      <c r="T14" t="s">
        <v>34</v>
      </c>
    </row>
    <row r="15" spans="1:20" x14ac:dyDescent="0.2">
      <c r="A15" t="s">
        <v>35</v>
      </c>
      <c r="B15" s="2">
        <v>92500000000</v>
      </c>
      <c r="G15" t="s">
        <v>6</v>
      </c>
      <c r="I15" t="s">
        <v>36</v>
      </c>
      <c r="J15" t="s">
        <v>28</v>
      </c>
      <c r="K15" t="s">
        <v>37</v>
      </c>
      <c r="L15">
        <v>4</v>
      </c>
      <c r="O15">
        <v>0</v>
      </c>
      <c r="P15">
        <v>50</v>
      </c>
      <c r="T15" t="s">
        <v>38</v>
      </c>
    </row>
    <row r="16" spans="1:20" x14ac:dyDescent="0.2">
      <c r="A16" t="s">
        <v>39</v>
      </c>
      <c r="B16" s="2">
        <v>39500000000</v>
      </c>
      <c r="G16" t="s">
        <v>6</v>
      </c>
      <c r="I16" t="s">
        <v>8</v>
      </c>
      <c r="J16" t="s">
        <v>28</v>
      </c>
      <c r="K16" t="s">
        <v>40</v>
      </c>
      <c r="L16">
        <v>4</v>
      </c>
      <c r="O16">
        <v>0</v>
      </c>
      <c r="P16">
        <v>50</v>
      </c>
      <c r="T16" t="s">
        <v>41</v>
      </c>
    </row>
    <row r="17" spans="1:20" x14ac:dyDescent="0.2">
      <c r="A17" t="s">
        <v>42</v>
      </c>
      <c r="B17" s="2">
        <v>1000000000</v>
      </c>
      <c r="G17" t="s">
        <v>6</v>
      </c>
      <c r="I17" t="s">
        <v>8</v>
      </c>
      <c r="J17" t="s">
        <v>28</v>
      </c>
      <c r="K17" t="s">
        <v>43</v>
      </c>
      <c r="L17">
        <v>4</v>
      </c>
      <c r="O17">
        <v>0</v>
      </c>
      <c r="P17">
        <v>50</v>
      </c>
      <c r="T17" t="s">
        <v>44</v>
      </c>
    </row>
    <row r="18" spans="1:20" x14ac:dyDescent="0.2">
      <c r="A18" t="s">
        <v>45</v>
      </c>
      <c r="B18" s="2">
        <v>45000000000</v>
      </c>
      <c r="G18" t="s">
        <v>46</v>
      </c>
      <c r="I18" t="s">
        <v>8</v>
      </c>
      <c r="J18" t="s">
        <v>28</v>
      </c>
      <c r="K18" t="s">
        <v>47</v>
      </c>
      <c r="L18">
        <v>4</v>
      </c>
      <c r="O18">
        <v>0</v>
      </c>
      <c r="P18">
        <v>50</v>
      </c>
      <c r="T18" t="s">
        <v>48</v>
      </c>
    </row>
    <row r="19" spans="1:20" x14ac:dyDescent="0.2">
      <c r="A19" t="s">
        <v>49</v>
      </c>
      <c r="B19" s="2">
        <v>-50000000000</v>
      </c>
      <c r="G19" t="s">
        <v>6</v>
      </c>
      <c r="I19" t="s">
        <v>8</v>
      </c>
      <c r="J19" t="s">
        <v>28</v>
      </c>
      <c r="K19" t="str">
        <f>B25</f>
        <v>polyol, incinerated</v>
      </c>
      <c r="L19">
        <v>4</v>
      </c>
      <c r="O19">
        <v>20</v>
      </c>
      <c r="P19">
        <v>70</v>
      </c>
      <c r="T19" t="s">
        <v>50</v>
      </c>
    </row>
    <row r="20" spans="1:20" x14ac:dyDescent="0.2">
      <c r="A20" t="s">
        <v>51</v>
      </c>
      <c r="B20" s="2">
        <v>3000000000</v>
      </c>
      <c r="H20" t="s">
        <v>52</v>
      </c>
      <c r="I20" t="s">
        <v>8</v>
      </c>
      <c r="J20" t="s">
        <v>53</v>
      </c>
      <c r="L20">
        <v>4</v>
      </c>
      <c r="O20">
        <v>0</v>
      </c>
      <c r="P20">
        <v>50</v>
      </c>
      <c r="T20" t="s">
        <v>54</v>
      </c>
    </row>
    <row r="21" spans="1:20" x14ac:dyDescent="0.2">
      <c r="A21" t="s">
        <v>55</v>
      </c>
      <c r="B21" s="2">
        <v>14000000</v>
      </c>
      <c r="H21" t="s">
        <v>52</v>
      </c>
      <c r="I21" t="s">
        <v>8</v>
      </c>
      <c r="J21" t="s">
        <v>53</v>
      </c>
      <c r="L21">
        <v>4</v>
      </c>
      <c r="O21">
        <v>0</v>
      </c>
      <c r="P21">
        <v>50</v>
      </c>
      <c r="T21" t="s">
        <v>56</v>
      </c>
    </row>
    <row r="22" spans="1:20" x14ac:dyDescent="0.2">
      <c r="B22" s="3"/>
    </row>
    <row r="24" spans="1:20" s="1" customFormat="1" x14ac:dyDescent="0.2">
      <c r="A24" s="1" t="s">
        <v>2</v>
      </c>
      <c r="B24" s="1" t="s">
        <v>49</v>
      </c>
    </row>
    <row r="25" spans="1:20" x14ac:dyDescent="0.2">
      <c r="A25" t="s">
        <v>3</v>
      </c>
      <c r="B25" t="s">
        <v>69</v>
      </c>
    </row>
    <row r="26" spans="1:20" x14ac:dyDescent="0.2">
      <c r="A26" t="s">
        <v>5</v>
      </c>
      <c r="B26" t="s">
        <v>6</v>
      </c>
    </row>
    <row r="27" spans="1:20" x14ac:dyDescent="0.2">
      <c r="A27" t="s">
        <v>7</v>
      </c>
      <c r="B27" t="s">
        <v>8</v>
      </c>
    </row>
    <row r="28" spans="1:20" x14ac:dyDescent="0.2">
      <c r="A28" t="s">
        <v>9</v>
      </c>
      <c r="B28">
        <v>50</v>
      </c>
    </row>
    <row r="29" spans="1:20" x14ac:dyDescent="0.2">
      <c r="A29" t="s">
        <v>11</v>
      </c>
      <c r="B29" t="s">
        <v>57</v>
      </c>
    </row>
    <row r="30" spans="1:20" x14ac:dyDescent="0.2">
      <c r="A30" t="s">
        <v>13</v>
      </c>
    </row>
    <row r="31" spans="1:20" s="1" customFormat="1" x14ac:dyDescent="0.2">
      <c r="A31" s="1" t="s">
        <v>14</v>
      </c>
      <c r="B31" s="1" t="s">
        <v>15</v>
      </c>
      <c r="C31" s="1">
        <v>2020</v>
      </c>
      <c r="D31" s="1">
        <v>2040</v>
      </c>
      <c r="E31" s="1">
        <v>2060</v>
      </c>
      <c r="F31" s="1">
        <v>2080</v>
      </c>
      <c r="G31" s="1" t="s">
        <v>5</v>
      </c>
      <c r="H31" s="1" t="s">
        <v>16</v>
      </c>
      <c r="I31" s="1" t="s">
        <v>7</v>
      </c>
      <c r="J31" s="1" t="s">
        <v>17</v>
      </c>
      <c r="K31" s="1" t="s">
        <v>3</v>
      </c>
      <c r="L31" s="1" t="s">
        <v>18</v>
      </c>
      <c r="M31" s="1" t="s">
        <v>19</v>
      </c>
      <c r="N31" s="1" t="s">
        <v>20</v>
      </c>
      <c r="O31" s="1" t="s">
        <v>21</v>
      </c>
      <c r="P31" s="1" t="s">
        <v>22</v>
      </c>
      <c r="Q31" s="1" t="s">
        <v>23</v>
      </c>
      <c r="R31" s="1" t="s">
        <v>24</v>
      </c>
      <c r="S31" s="1" t="s">
        <v>25</v>
      </c>
      <c r="T31" s="1" t="s">
        <v>11</v>
      </c>
    </row>
    <row r="32" spans="1:20" x14ac:dyDescent="0.2">
      <c r="A32" t="s">
        <v>49</v>
      </c>
      <c r="B32">
        <v>-1</v>
      </c>
      <c r="G32" t="s">
        <v>6</v>
      </c>
      <c r="I32" t="s">
        <v>8</v>
      </c>
      <c r="J32" t="s">
        <v>26</v>
      </c>
      <c r="K32" t="str">
        <f>B25</f>
        <v>polyol, incinerated</v>
      </c>
      <c r="T32" t="s">
        <v>27</v>
      </c>
    </row>
    <row r="33" spans="1:20" x14ac:dyDescent="0.2">
      <c r="A33" t="s">
        <v>58</v>
      </c>
      <c r="B33">
        <v>0.01</v>
      </c>
      <c r="G33" t="s">
        <v>6</v>
      </c>
      <c r="I33" t="s">
        <v>59</v>
      </c>
      <c r="J33" t="s">
        <v>28</v>
      </c>
      <c r="K33" t="s">
        <v>60</v>
      </c>
    </row>
    <row r="34" spans="1:20" x14ac:dyDescent="0.2">
      <c r="A34" t="s">
        <v>61</v>
      </c>
      <c r="B34">
        <v>2.5000000000000002E-10</v>
      </c>
      <c r="G34" t="s">
        <v>62</v>
      </c>
      <c r="I34" t="s">
        <v>7</v>
      </c>
      <c r="J34" t="s">
        <v>28</v>
      </c>
      <c r="K34" t="s">
        <v>63</v>
      </c>
    </row>
    <row r="35" spans="1:20" x14ac:dyDescent="0.2">
      <c r="A35" t="s">
        <v>51</v>
      </c>
      <c r="B35">
        <v>0.2</v>
      </c>
      <c r="H35" t="s">
        <v>52</v>
      </c>
      <c r="I35" t="s">
        <v>8</v>
      </c>
      <c r="J35" t="s">
        <v>53</v>
      </c>
      <c r="T35" t="s">
        <v>54</v>
      </c>
    </row>
    <row r="36" spans="1:20" x14ac:dyDescent="0.2">
      <c r="A36" t="s">
        <v>67</v>
      </c>
      <c r="B36">
        <f>2-B35</f>
        <v>1.8</v>
      </c>
      <c r="H36" t="s">
        <v>52</v>
      </c>
      <c r="I36" t="s">
        <v>8</v>
      </c>
      <c r="J36" t="s">
        <v>53</v>
      </c>
      <c r="T36" t="s">
        <v>54</v>
      </c>
    </row>
    <row r="37" spans="1:20" x14ac:dyDescent="0.2">
      <c r="A37" t="s">
        <v>64</v>
      </c>
      <c r="B37">
        <v>0.74</v>
      </c>
      <c r="H37" t="s">
        <v>52</v>
      </c>
      <c r="I37" t="s">
        <v>8</v>
      </c>
      <c r="J37" t="s">
        <v>53</v>
      </c>
    </row>
    <row r="38" spans="1:20" x14ac:dyDescent="0.2">
      <c r="A38" t="s">
        <v>65</v>
      </c>
      <c r="B38">
        <v>1.74</v>
      </c>
      <c r="H38" t="s">
        <v>66</v>
      </c>
      <c r="I38" t="s">
        <v>8</v>
      </c>
      <c r="J38" t="s">
        <v>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ccu delayed release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Romain Sacchi</cp:lastModifiedBy>
  <dcterms:created xsi:type="dcterms:W3CDTF">2026-03-04T18:43:42Z</dcterms:created>
  <dcterms:modified xsi:type="dcterms:W3CDTF">2026-06-15T17:53:38Z</dcterms:modified>
</cp:coreProperties>
</file>