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main/GitHub/trails/dev/publication/LCIs/"/>
    </mc:Choice>
  </mc:AlternateContent>
  <xr:revisionPtr revIDLastSave="0" documentId="13_ncr:1_{52E87E28-82FC-FC42-880E-089C6EEE71DA}" xr6:coauthVersionLast="47" xr6:coauthVersionMax="47" xr10:uidLastSave="{00000000-0000-0000-0000-000000000000}"/>
  <bookViews>
    <workbookView xWindow="4680" yWindow="660" windowWidth="25820" windowHeight="18980" xr2:uid="{00000000-000D-0000-FFFF-FFFF00000000}"/>
  </bookViews>
  <sheets>
    <sheet name="passenger cars" sheetId="1" r:id="rId1"/>
    <sheet name="heat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75" i="1"/>
  <c r="B33" i="2"/>
  <c r="B28" i="2"/>
  <c r="B32" i="2" s="1"/>
  <c r="B34" i="2" s="1"/>
  <c r="B23" i="2"/>
  <c r="B22" i="2"/>
  <c r="B20" i="2"/>
  <c r="B9" i="2"/>
  <c r="B13" i="2" s="1"/>
  <c r="B4" i="2"/>
  <c r="B3" i="2"/>
  <c r="B1" i="2"/>
  <c r="B85" i="1"/>
  <c r="B84" i="1"/>
  <c r="B82" i="1"/>
  <c r="B81" i="1"/>
  <c r="B80" i="1"/>
  <c r="B79" i="1"/>
  <c r="B78" i="1"/>
  <c r="B77" i="1"/>
  <c r="B76" i="1"/>
  <c r="B67" i="1"/>
  <c r="B66" i="1"/>
  <c r="B65" i="1"/>
  <c r="B64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M25" i="1"/>
  <c r="P24" i="1"/>
  <c r="O24" i="1"/>
  <c r="P23" i="1"/>
  <c r="O23" i="1"/>
  <c r="B23" i="1"/>
  <c r="P22" i="1"/>
  <c r="O22" i="1"/>
  <c r="F22" i="1"/>
  <c r="F24" i="1" s="1"/>
  <c r="E22" i="1"/>
  <c r="E24" i="1" s="1"/>
  <c r="D22" i="1"/>
  <c r="D24" i="1" s="1"/>
  <c r="C22" i="1"/>
  <c r="C24" i="1" s="1"/>
  <c r="B22" i="1"/>
  <c r="B24" i="1" s="1"/>
  <c r="P21" i="1"/>
  <c r="O21" i="1"/>
  <c r="F21" i="1"/>
  <c r="F23" i="1" s="1"/>
  <c r="E21" i="1"/>
  <c r="E23" i="1" s="1"/>
  <c r="D21" i="1"/>
  <c r="D23" i="1" s="1"/>
  <c r="C21" i="1"/>
  <c r="C23" i="1" s="1"/>
  <c r="B21" i="1"/>
  <c r="P20" i="1"/>
  <c r="O20" i="1"/>
  <c r="P19" i="1"/>
  <c r="O19" i="1"/>
  <c r="P17" i="1"/>
  <c r="O17" i="1"/>
  <c r="P16" i="1"/>
  <c r="O16" i="1"/>
  <c r="P15" i="1"/>
  <c r="O15" i="1"/>
  <c r="B6" i="1"/>
  <c r="B5" i="1"/>
  <c r="B4" i="1"/>
  <c r="B3" i="1"/>
</calcChain>
</file>

<file path=xl/sharedStrings.xml><?xml version="1.0" encoding="utf-8"?>
<sst xmlns="http://schemas.openxmlformats.org/spreadsheetml/2006/main" count="433" uniqueCount="137">
  <si>
    <t>Database</t>
  </si>
  <si>
    <t>lci-trails</t>
  </si>
  <si>
    <t>Activity</t>
  </si>
  <si>
    <t>reference product</t>
  </si>
  <si>
    <t>location</t>
  </si>
  <si>
    <t>unit</t>
  </si>
  <si>
    <t>lifetime [km]</t>
  </si>
  <si>
    <t>fuel consumption [l/100 km]</t>
  </si>
  <si>
    <t>lifetime [year]</t>
  </si>
  <si>
    <t>average age [year]</t>
  </si>
  <si>
    <t>comment</t>
  </si>
  <si>
    <t>Example activitiy to test the import function of trails.</t>
  </si>
  <si>
    <t>Exchanges</t>
  </si>
  <si>
    <t>name</t>
  </si>
  <si>
    <t>amount</t>
  </si>
  <si>
    <t>categories</t>
  </si>
  <si>
    <t>type</t>
  </si>
  <si>
    <t>temporal_distribution</t>
  </si>
  <si>
    <t>temporal_loc</t>
  </si>
  <si>
    <t>temporal_scale</t>
  </si>
  <si>
    <t>temporal_min</t>
  </si>
  <si>
    <t>temporal_max</t>
  </si>
  <si>
    <t>temporal_amount_source</t>
  </si>
  <si>
    <t>transport, passenger, car, diesel</t>
  </si>
  <si>
    <t>RER</t>
  </si>
  <si>
    <t>kilometer</t>
  </si>
  <si>
    <t>production</t>
  </si>
  <si>
    <t>transport, passenger, car</t>
  </si>
  <si>
    <t>market for brake wear emissions, passenger car</t>
  </si>
  <si>
    <t>GLO</t>
  </si>
  <si>
    <t>kilogram</t>
  </si>
  <si>
    <t>technosphere</t>
  </si>
  <si>
    <t>brake wear emissions, passenger car</t>
  </si>
  <si>
    <t>Occurs uniformly over the vehicle's use phase.</t>
  </si>
  <si>
    <t>market for road wear emissions, passenger car</t>
  </si>
  <si>
    <t>road wear emissions, passenger car</t>
  </si>
  <si>
    <t>market for tyre wear emissions, passenger car</t>
  </si>
  <si>
    <t>tyre wear emissions, passenger car</t>
  </si>
  <si>
    <t>road construction</t>
  </si>
  <si>
    <t>RoW</t>
  </si>
  <si>
    <t>meter-year</t>
  </si>
  <si>
    <t>road</t>
  </si>
  <si>
    <t>The road has been continuously built between 40 years ago and last year.</t>
  </si>
  <si>
    <t>maintenance, passenger car</t>
  </si>
  <si>
    <t>passenger car maintenance</t>
  </si>
  <si>
    <t>The car is being continuously maintained over the use phase.</t>
  </si>
  <si>
    <t>market for road maintenance</t>
  </si>
  <si>
    <t>road maintenance</t>
  </si>
  <si>
    <t>The road undergoes maintenance uniformaly over the use phase.</t>
  </si>
  <si>
    <t>diesel production, low-sulfur, petroleum refinery operation</t>
  </si>
  <si>
    <t>Europe without Switzerland</t>
  </si>
  <si>
    <t>diesel, low-sulfur</t>
  </si>
  <si>
    <t>matrix</t>
  </si>
  <si>
    <t>Here, the matrix-stored value is used, instead of porting the value and distirbuting it over years. Also, we indicate year-specific values. When absent, values under "amount" apply.</t>
  </si>
  <si>
    <t>esterification of rape oil</t>
  </si>
  <si>
    <t>fatty acid methyl ester</t>
  </si>
  <si>
    <t>Carbon dioxide, fossil</t>
  </si>
  <si>
    <t>air::urban air close to ground</t>
  </si>
  <si>
    <t>biosphere</t>
  </si>
  <si>
    <t>Carbon dioxide, non-fossil</t>
  </si>
  <si>
    <t>passenger car production, diesel</t>
  </si>
  <si>
    <t>passenger car, diesel</t>
  </si>
  <si>
    <t>temporal_distribution: 2 = lognormal, 3 = normal, 4 = uniform and 5 = triangular.</t>
  </si>
  <si>
    <t>Ethane</t>
  </si>
  <si>
    <t>NMVOC, non-methane volatile organic compounds</t>
  </si>
  <si>
    <t>Nickel II</t>
  </si>
  <si>
    <t>Toluene</t>
  </si>
  <si>
    <t>Styrene</t>
  </si>
  <si>
    <t>Chromium III</t>
  </si>
  <si>
    <t>Carbon monoxide, fossil</t>
  </si>
  <si>
    <t>Copper ion</t>
  </si>
  <si>
    <t>Sulfur dioxide</t>
  </si>
  <si>
    <t>Ammonia</t>
  </si>
  <si>
    <t>Lead II</t>
  </si>
  <si>
    <t>Ethylene oxide</t>
  </si>
  <si>
    <t>Benzaldehyde</t>
  </si>
  <si>
    <t>Methane, fossil</t>
  </si>
  <si>
    <t>Selenium IV</t>
  </si>
  <si>
    <t>PAH, polycyclic aromatic hydrocarbons</t>
  </si>
  <si>
    <t>Benzene</t>
  </si>
  <si>
    <t>Pentane</t>
  </si>
  <si>
    <t>Acrolein</t>
  </si>
  <si>
    <t>Heptane</t>
  </si>
  <si>
    <t>Formaldehyde</t>
  </si>
  <si>
    <t>Cadmium II</t>
  </si>
  <si>
    <t>Dinitrogen monoxide</t>
  </si>
  <si>
    <t>Methyl ethyl ketone</t>
  </si>
  <si>
    <t>Hydrocarbons, aliphatic, alkanes, cyclic</t>
  </si>
  <si>
    <t>Chromium VI</t>
  </si>
  <si>
    <t>Propane</t>
  </si>
  <si>
    <t>o-Xylene</t>
  </si>
  <si>
    <t>Acetaldehyde</t>
  </si>
  <si>
    <t>Nitrogen oxides</t>
  </si>
  <si>
    <t>Mercury II</t>
  </si>
  <si>
    <t>Propylene oxide</t>
  </si>
  <si>
    <t>Acetone</t>
  </si>
  <si>
    <t>Particulate Matter, &lt; 2.5 um</t>
  </si>
  <si>
    <t>Zinc II</t>
  </si>
  <si>
    <t>Butane</t>
  </si>
  <si>
    <t>m-Xylene</t>
  </si>
  <si>
    <t>electricity consumption [kWh/100 km]</t>
  </si>
  <si>
    <t>transport, passenger, car, battery electric</t>
  </si>
  <si>
    <t>market for used Li-ion battery</t>
  </si>
  <si>
    <t>used Li-ion battery</t>
  </si>
  <si>
    <t>maintenance, passenger car, electric, without battery</t>
  </si>
  <si>
    <t>market group for electricity, low voltage</t>
  </si>
  <si>
    <t>kilowatt hour</t>
  </si>
  <si>
    <t>electricity, low voltage</t>
  </si>
  <si>
    <t>passenger car production, electric, without battery</t>
  </si>
  <si>
    <t>passenger car, electric, without battery</t>
  </si>
  <si>
    <t>battery production, Li-ion, LFP, rechargeable</t>
  </si>
  <si>
    <t>CN</t>
  </si>
  <si>
    <t>battery, Li-ion, LFP, rechargeable</t>
  </si>
  <si>
    <t>heat</t>
  </si>
  <si>
    <t>power [kW]</t>
  </si>
  <si>
    <t>lifetime [y]</t>
  </si>
  <si>
    <t>efficiency [.]</t>
  </si>
  <si>
    <t>operation [hour/yer]</t>
  </si>
  <si>
    <t>production [MJ/year]</t>
  </si>
  <si>
    <t>heating, from wood logs stove</t>
  </si>
  <si>
    <t>megajoule</t>
  </si>
  <si>
    <t>market for cleft timber, green, measured as dry mass</t>
  </si>
  <si>
    <t>CH</t>
  </si>
  <si>
    <t>cleft timber, green, measured as dry mass</t>
  </si>
  <si>
    <t>furnace production, logs, 30kW</t>
  </si>
  <si>
    <t>furnace, logs, 30kW</t>
  </si>
  <si>
    <t>market for electricity, low voltage</t>
  </si>
  <si>
    <t>market for wood ash mixture, pure</t>
  </si>
  <si>
    <t>wood ash mixture, pure</t>
  </si>
  <si>
    <t>temporal_offsets</t>
  </si>
  <si>
    <t>temporal_weights</t>
  </si>
  <si>
    <t>heating, from heat pump</t>
  </si>
  <si>
    <t>market for heat pump, 30kW</t>
  </si>
  <si>
    <t>heat pump, 30kW</t>
  </si>
  <si>
    <t>[-1,14]</t>
  </si>
  <si>
    <t>[0.5,0.5]</t>
  </si>
  <si>
    <t>1,1,1,2-Tetrafluoroethane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</si>
</sst>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11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5"/>
  <sheetViews>
    <sheetView tabSelected="1" topLeftCell="A32" zoomScale="108" workbookViewId="0">
      <selection activeCell="A76" sqref="A76"/>
    </sheetView>
  </sheetViews>
  <sheetFormatPr baseColWidth="10" defaultColWidth="8.83203125" defaultRowHeight="15" x14ac:dyDescent="0.2"/>
  <cols>
    <col min="1" max="1" width="49.83203125" customWidth="1"/>
    <col min="2" max="2" width="15.1640625" customWidth="1"/>
    <col min="3" max="6" width="8.6640625" bestFit="1" customWidth="1"/>
    <col min="8" max="8" width="11.5" customWidth="1"/>
    <col min="11" max="11" width="26.5" customWidth="1"/>
    <col min="12" max="12" width="18.5" bestFit="1" customWidth="1"/>
    <col min="13" max="13" width="11.5" bestFit="1" customWidth="1"/>
    <col min="14" max="14" width="13" bestFit="1" customWidth="1"/>
    <col min="15" max="15" width="12.1640625" bestFit="1" customWidth="1"/>
    <col min="16" max="16" width="12.33203125" bestFit="1" customWidth="1"/>
    <col min="17" max="17" width="21.5" bestFit="1" customWidth="1"/>
  </cols>
  <sheetData>
    <row r="1" spans="1:18" x14ac:dyDescent="0.2">
      <c r="A1" s="1" t="s">
        <v>0</v>
      </c>
      <c r="B1" t="s">
        <v>1</v>
      </c>
    </row>
    <row r="3" spans="1:18" s="1" customFormat="1" x14ac:dyDescent="0.2">
      <c r="A3" s="1" t="s">
        <v>2</v>
      </c>
      <c r="B3" s="1" t="str">
        <f>A14</f>
        <v>transport, passenger, car, diesel</v>
      </c>
    </row>
    <row r="4" spans="1:18" x14ac:dyDescent="0.2">
      <c r="A4" t="s">
        <v>3</v>
      </c>
      <c r="B4" t="str">
        <f>K14</f>
        <v>transport, passenger, car</v>
      </c>
    </row>
    <row r="5" spans="1:18" x14ac:dyDescent="0.2">
      <c r="A5" t="s">
        <v>4</v>
      </c>
      <c r="B5" t="str">
        <f>G14</f>
        <v>RER</v>
      </c>
    </row>
    <row r="6" spans="1:18" x14ac:dyDescent="0.2">
      <c r="A6" t="s">
        <v>5</v>
      </c>
      <c r="B6" t="str">
        <f>I14</f>
        <v>kilometer</v>
      </c>
    </row>
    <row r="7" spans="1:18" x14ac:dyDescent="0.2">
      <c r="A7" t="s">
        <v>6</v>
      </c>
      <c r="B7">
        <v>150000</v>
      </c>
    </row>
    <row r="8" spans="1:18" x14ac:dyDescent="0.2">
      <c r="A8" t="s">
        <v>7</v>
      </c>
      <c r="B8">
        <v>5</v>
      </c>
    </row>
    <row r="9" spans="1:18" x14ac:dyDescent="0.2">
      <c r="A9" t="s">
        <v>8</v>
      </c>
      <c r="B9">
        <v>16</v>
      </c>
    </row>
    <row r="10" spans="1:18" x14ac:dyDescent="0.2">
      <c r="A10" t="s">
        <v>9</v>
      </c>
      <c r="B10">
        <v>8</v>
      </c>
    </row>
    <row r="11" spans="1:18" x14ac:dyDescent="0.2">
      <c r="A11" t="s">
        <v>10</v>
      </c>
      <c r="B11" t="s">
        <v>11</v>
      </c>
    </row>
    <row r="12" spans="1:18" x14ac:dyDescent="0.2">
      <c r="A12" s="1" t="s">
        <v>12</v>
      </c>
    </row>
    <row r="13" spans="1:18" s="1" customFormat="1" x14ac:dyDescent="0.2">
      <c r="A13" s="1" t="s">
        <v>13</v>
      </c>
      <c r="B13" s="1" t="s">
        <v>14</v>
      </c>
      <c r="C13" s="1">
        <v>2020</v>
      </c>
      <c r="D13" s="1">
        <v>2040</v>
      </c>
      <c r="E13" s="1">
        <v>2060</v>
      </c>
      <c r="F13" s="1">
        <v>2080</v>
      </c>
      <c r="G13" s="1" t="s">
        <v>4</v>
      </c>
      <c r="H13" s="1" t="s">
        <v>15</v>
      </c>
      <c r="I13" s="1" t="s">
        <v>5</v>
      </c>
      <c r="J13" s="1" t="s">
        <v>16</v>
      </c>
      <c r="K13" s="1" t="s">
        <v>3</v>
      </c>
      <c r="L13" s="1" t="s">
        <v>17</v>
      </c>
      <c r="M13" s="1" t="s">
        <v>18</v>
      </c>
      <c r="N13" s="1" t="s">
        <v>19</v>
      </c>
      <c r="O13" s="1" t="s">
        <v>20</v>
      </c>
      <c r="P13" s="1" t="s">
        <v>21</v>
      </c>
      <c r="Q13" s="1" t="s">
        <v>22</v>
      </c>
      <c r="R13" s="1" t="s">
        <v>10</v>
      </c>
    </row>
    <row r="14" spans="1:18" x14ac:dyDescent="0.2">
      <c r="A14" t="s">
        <v>23</v>
      </c>
      <c r="B14">
        <f>B7</f>
        <v>150000</v>
      </c>
      <c r="G14" t="s">
        <v>24</v>
      </c>
      <c r="I14" t="s">
        <v>25</v>
      </c>
      <c r="J14" t="s">
        <v>26</v>
      </c>
      <c r="K14" t="s">
        <v>27</v>
      </c>
    </row>
    <row r="15" spans="1:18" x14ac:dyDescent="0.2">
      <c r="A15" t="s">
        <v>28</v>
      </c>
      <c r="B15" s="2">
        <v>-1.3998809999999999</v>
      </c>
      <c r="C15" s="2"/>
      <c r="D15" s="2"/>
      <c r="E15" s="2"/>
      <c r="F15" s="2"/>
      <c r="G15" t="s">
        <v>29</v>
      </c>
      <c r="I15" t="s">
        <v>30</v>
      </c>
      <c r="J15" t="s">
        <v>31</v>
      </c>
      <c r="K15" t="s">
        <v>32</v>
      </c>
      <c r="L15">
        <v>4</v>
      </c>
      <c r="M15">
        <v>0</v>
      </c>
      <c r="O15">
        <f>$B$10-$B$9</f>
        <v>-8</v>
      </c>
      <c r="P15">
        <f>$B$9-$B$10</f>
        <v>8</v>
      </c>
      <c r="R15" t="s">
        <v>33</v>
      </c>
    </row>
    <row r="16" spans="1:18" x14ac:dyDescent="0.2">
      <c r="A16" t="s">
        <v>34</v>
      </c>
      <c r="B16" s="2">
        <v>-3.0797382</v>
      </c>
      <c r="C16" s="2"/>
      <c r="D16" s="2"/>
      <c r="E16" s="2"/>
      <c r="F16" s="2"/>
      <c r="G16" t="s">
        <v>29</v>
      </c>
      <c r="I16" t="s">
        <v>30</v>
      </c>
      <c r="J16" t="s">
        <v>31</v>
      </c>
      <c r="K16" t="s">
        <v>35</v>
      </c>
      <c r="L16">
        <v>4</v>
      </c>
      <c r="M16">
        <v>0</v>
      </c>
      <c r="O16">
        <f>$B$10-$B$9</f>
        <v>-8</v>
      </c>
      <c r="P16">
        <f>$B$9-$B$10</f>
        <v>8</v>
      </c>
      <c r="R16" t="s">
        <v>33</v>
      </c>
    </row>
    <row r="17" spans="1:18" x14ac:dyDescent="0.2">
      <c r="A17" t="s">
        <v>36</v>
      </c>
      <c r="B17" s="2">
        <v>-18.009705</v>
      </c>
      <c r="C17" s="2"/>
      <c r="D17" s="2"/>
      <c r="E17" s="2"/>
      <c r="F17" s="2"/>
      <c r="G17" t="s">
        <v>29</v>
      </c>
      <c r="I17" t="s">
        <v>30</v>
      </c>
      <c r="J17" t="s">
        <v>31</v>
      </c>
      <c r="K17" t="s">
        <v>37</v>
      </c>
      <c r="L17">
        <v>4</v>
      </c>
      <c r="M17">
        <v>0</v>
      </c>
      <c r="O17">
        <f>$B$10-$B$9</f>
        <v>-8</v>
      </c>
      <c r="P17">
        <f>$B$9-$B$10</f>
        <v>8</v>
      </c>
      <c r="R17" t="s">
        <v>33</v>
      </c>
    </row>
    <row r="18" spans="1:18" x14ac:dyDescent="0.2">
      <c r="A18" t="s">
        <v>38</v>
      </c>
      <c r="B18" s="2">
        <v>168.92946000000001</v>
      </c>
      <c r="C18" s="2"/>
      <c r="D18" s="2"/>
      <c r="E18" s="2"/>
      <c r="F18" s="2"/>
      <c r="G18" t="s">
        <v>39</v>
      </c>
      <c r="I18" t="s">
        <v>40</v>
      </c>
      <c r="J18" t="s">
        <v>31</v>
      </c>
      <c r="K18" t="s">
        <v>41</v>
      </c>
      <c r="L18">
        <v>4</v>
      </c>
      <c r="M18">
        <v>-20</v>
      </c>
      <c r="O18">
        <v>-40</v>
      </c>
      <c r="P18">
        <v>-1</v>
      </c>
      <c r="R18" t="s">
        <v>42</v>
      </c>
    </row>
    <row r="19" spans="1:18" x14ac:dyDescent="0.2">
      <c r="A19" t="s">
        <v>43</v>
      </c>
      <c r="B19" s="2">
        <v>1.61290322580645</v>
      </c>
      <c r="C19" s="2"/>
      <c r="D19" s="2"/>
      <c r="E19" s="2"/>
      <c r="F19" s="2"/>
      <c r="G19" t="s">
        <v>24</v>
      </c>
      <c r="I19" t="s">
        <v>5</v>
      </c>
      <c r="J19" t="s">
        <v>31</v>
      </c>
      <c r="K19" t="s">
        <v>44</v>
      </c>
      <c r="L19">
        <v>4</v>
      </c>
      <c r="M19">
        <v>0</v>
      </c>
      <c r="O19">
        <f t="shared" ref="O19:O24" si="0">$B$10-$B$9</f>
        <v>-8</v>
      </c>
      <c r="P19">
        <f t="shared" ref="P19:P24" si="1">$B$9-$B$10</f>
        <v>8</v>
      </c>
      <c r="R19" t="s">
        <v>45</v>
      </c>
    </row>
    <row r="20" spans="1:18" x14ac:dyDescent="0.2">
      <c r="A20" t="s">
        <v>46</v>
      </c>
      <c r="B20" s="2">
        <v>39.799999999999997</v>
      </c>
      <c r="C20" s="2"/>
      <c r="D20" s="2"/>
      <c r="E20" s="2"/>
      <c r="F20" s="2"/>
      <c r="G20" t="s">
        <v>24</v>
      </c>
      <c r="I20" t="s">
        <v>40</v>
      </c>
      <c r="J20" t="s">
        <v>31</v>
      </c>
      <c r="K20" t="s">
        <v>47</v>
      </c>
      <c r="L20">
        <v>4</v>
      </c>
      <c r="M20">
        <v>0</v>
      </c>
      <c r="O20">
        <f t="shared" si="0"/>
        <v>-8</v>
      </c>
      <c r="P20">
        <f t="shared" si="1"/>
        <v>8</v>
      </c>
      <c r="R20" t="s">
        <v>48</v>
      </c>
    </row>
    <row r="21" spans="1:18" x14ac:dyDescent="0.2">
      <c r="A21" t="s">
        <v>49</v>
      </c>
      <c r="B21" s="2">
        <f>B8*0.85/100*B7*1</f>
        <v>6375.0000000000009</v>
      </c>
      <c r="C21" s="3">
        <f>B8*0.85/100*B7*1</f>
        <v>6375.0000000000009</v>
      </c>
      <c r="D21" s="3">
        <f>B8*0.85/100*B7*0.8</f>
        <v>5100.0000000000009</v>
      </c>
      <c r="E21" s="3">
        <f>B8*0.85/100*B7*0.6</f>
        <v>3825.0000000000005</v>
      </c>
      <c r="F21" s="3">
        <f>B8*0.85/100*B7*0</f>
        <v>0</v>
      </c>
      <c r="G21" t="s">
        <v>50</v>
      </c>
      <c r="I21" t="s">
        <v>30</v>
      </c>
      <c r="J21" t="s">
        <v>31</v>
      </c>
      <c r="K21" t="s">
        <v>51</v>
      </c>
      <c r="L21">
        <v>4</v>
      </c>
      <c r="M21">
        <v>0</v>
      </c>
      <c r="O21">
        <f t="shared" si="0"/>
        <v>-8</v>
      </c>
      <c r="P21">
        <f t="shared" si="1"/>
        <v>8</v>
      </c>
      <c r="Q21" t="s">
        <v>52</v>
      </c>
      <c r="R21" t="s">
        <v>53</v>
      </c>
    </row>
    <row r="22" spans="1:18" x14ac:dyDescent="0.2">
      <c r="A22" t="s">
        <v>54</v>
      </c>
      <c r="B22" s="2">
        <f>B8*0.85/100*B7*0</f>
        <v>0</v>
      </c>
      <c r="C22" s="3">
        <f>B8*0.85/100*B7*0</f>
        <v>0</v>
      </c>
      <c r="D22" s="3">
        <f>B8*0.85/100*B7*0.2</f>
        <v>1275.0000000000002</v>
      </c>
      <c r="E22" s="3">
        <f>B8*0.85/100*B7*0.4</f>
        <v>2550.0000000000005</v>
      </c>
      <c r="F22" s="3">
        <f>B8*0.85/100*B7*1</f>
        <v>6375.0000000000009</v>
      </c>
      <c r="G22" t="s">
        <v>50</v>
      </c>
      <c r="I22" t="s">
        <v>30</v>
      </c>
      <c r="J22" t="s">
        <v>31</v>
      </c>
      <c r="K22" t="s">
        <v>55</v>
      </c>
      <c r="L22">
        <v>4</v>
      </c>
      <c r="M22">
        <v>0</v>
      </c>
      <c r="O22">
        <f t="shared" si="0"/>
        <v>-8</v>
      </c>
      <c r="P22">
        <f t="shared" si="1"/>
        <v>8</v>
      </c>
      <c r="Q22" t="s">
        <v>52</v>
      </c>
      <c r="R22" t="s">
        <v>53</v>
      </c>
    </row>
    <row r="23" spans="1:18" x14ac:dyDescent="0.2">
      <c r="A23" t="s">
        <v>56</v>
      </c>
      <c r="B23" s="3">
        <f t="shared" ref="B23:F24" si="2">B21*3.15</f>
        <v>20081.250000000004</v>
      </c>
      <c r="C23" s="3">
        <f t="shared" si="2"/>
        <v>20081.250000000004</v>
      </c>
      <c r="D23" s="3">
        <f t="shared" si="2"/>
        <v>16065.000000000002</v>
      </c>
      <c r="E23" s="3">
        <f t="shared" si="2"/>
        <v>12048.750000000002</v>
      </c>
      <c r="F23" s="3">
        <f t="shared" si="2"/>
        <v>0</v>
      </c>
      <c r="H23" t="s">
        <v>57</v>
      </c>
      <c r="I23" t="s">
        <v>30</v>
      </c>
      <c r="J23" t="s">
        <v>58</v>
      </c>
      <c r="L23">
        <v>4</v>
      </c>
      <c r="M23">
        <v>0</v>
      </c>
      <c r="O23">
        <f t="shared" si="0"/>
        <v>-8</v>
      </c>
      <c r="P23">
        <f t="shared" si="1"/>
        <v>8</v>
      </c>
      <c r="Q23" t="s">
        <v>52</v>
      </c>
      <c r="R23" t="s">
        <v>53</v>
      </c>
    </row>
    <row r="24" spans="1:18" x14ac:dyDescent="0.2">
      <c r="A24" t="s">
        <v>59</v>
      </c>
      <c r="B24" s="3">
        <f t="shared" si="2"/>
        <v>0</v>
      </c>
      <c r="C24" s="3">
        <f t="shared" si="2"/>
        <v>0</v>
      </c>
      <c r="D24" s="3">
        <f t="shared" si="2"/>
        <v>4016.2500000000005</v>
      </c>
      <c r="E24" s="3">
        <f t="shared" si="2"/>
        <v>8032.5000000000009</v>
      </c>
      <c r="F24" s="3">
        <f t="shared" si="2"/>
        <v>20081.250000000004</v>
      </c>
      <c r="H24" t="s">
        <v>57</v>
      </c>
      <c r="I24" t="s">
        <v>30</v>
      </c>
      <c r="J24" t="s">
        <v>58</v>
      </c>
      <c r="L24">
        <v>4</v>
      </c>
      <c r="M24">
        <v>0</v>
      </c>
      <c r="O24">
        <f t="shared" si="0"/>
        <v>-8</v>
      </c>
      <c r="P24">
        <f t="shared" si="1"/>
        <v>8</v>
      </c>
      <c r="Q24" t="s">
        <v>52</v>
      </c>
      <c r="R24" t="s">
        <v>53</v>
      </c>
    </row>
    <row r="25" spans="1:18" x14ac:dyDescent="0.2">
      <c r="A25" t="s">
        <v>60</v>
      </c>
      <c r="B25" s="3">
        <v>2000</v>
      </c>
      <c r="C25" s="2"/>
      <c r="D25" s="2"/>
      <c r="E25" s="2"/>
      <c r="F25" s="2"/>
      <c r="G25" t="s">
        <v>29</v>
      </c>
      <c r="I25" t="s">
        <v>30</v>
      </c>
      <c r="J25" t="s">
        <v>31</v>
      </c>
      <c r="K25" t="s">
        <v>61</v>
      </c>
      <c r="L25">
        <v>5</v>
      </c>
      <c r="M25">
        <f>-1*$B$10</f>
        <v>-8</v>
      </c>
      <c r="N25">
        <v>1</v>
      </c>
      <c r="O25">
        <v>-12</v>
      </c>
      <c r="P25">
        <v>-1</v>
      </c>
      <c r="R25" t="s">
        <v>62</v>
      </c>
    </row>
    <row r="26" spans="1:18" x14ac:dyDescent="0.2">
      <c r="A26" t="s">
        <v>63</v>
      </c>
      <c r="B26" s="2">
        <v>1.6379999999999999E-2</v>
      </c>
      <c r="C26" s="2"/>
      <c r="D26" s="2"/>
      <c r="E26" s="2"/>
      <c r="F26" s="2"/>
      <c r="H26" t="s">
        <v>57</v>
      </c>
      <c r="I26" t="s">
        <v>30</v>
      </c>
      <c r="J26" t="s">
        <v>58</v>
      </c>
      <c r="L26">
        <v>4</v>
      </c>
      <c r="M26">
        <v>0</v>
      </c>
      <c r="O26">
        <f t="shared" ref="O26:O62" si="3">$B$10-$B$9</f>
        <v>-8</v>
      </c>
      <c r="P26">
        <f t="shared" ref="P26:P62" si="4">$B$9-$B$10</f>
        <v>8</v>
      </c>
    </row>
    <row r="27" spans="1:18" x14ac:dyDescent="0.2">
      <c r="A27" t="s">
        <v>64</v>
      </c>
      <c r="B27" s="2">
        <v>2.6309999999999998</v>
      </c>
      <c r="C27" s="2"/>
      <c r="D27" s="2"/>
      <c r="E27" s="2"/>
      <c r="F27" s="2"/>
      <c r="H27" t="s">
        <v>57</v>
      </c>
      <c r="I27" t="s">
        <v>30</v>
      </c>
      <c r="J27" t="s">
        <v>58</v>
      </c>
      <c r="L27">
        <v>4</v>
      </c>
      <c r="M27">
        <v>0</v>
      </c>
      <c r="O27">
        <f t="shared" si="3"/>
        <v>-8</v>
      </c>
      <c r="P27">
        <f t="shared" si="4"/>
        <v>8</v>
      </c>
    </row>
    <row r="28" spans="1:18" x14ac:dyDescent="0.2">
      <c r="A28" t="s">
        <v>65</v>
      </c>
      <c r="B28" s="2">
        <v>7.3130358000000006E-4</v>
      </c>
      <c r="C28" s="2"/>
      <c r="D28" s="2"/>
      <c r="E28" s="2"/>
      <c r="F28" s="2"/>
      <c r="H28" t="s">
        <v>57</v>
      </c>
      <c r="I28" t="s">
        <v>30</v>
      </c>
      <c r="J28" t="s">
        <v>58</v>
      </c>
      <c r="L28">
        <v>4</v>
      </c>
      <c r="M28">
        <v>0</v>
      </c>
      <c r="O28">
        <f t="shared" si="3"/>
        <v>-8</v>
      </c>
      <c r="P28">
        <f t="shared" si="4"/>
        <v>8</v>
      </c>
    </row>
    <row r="29" spans="1:18" x14ac:dyDescent="0.2">
      <c r="A29" t="s">
        <v>66</v>
      </c>
      <c r="B29" s="2">
        <v>3.4229999999999997E-2</v>
      </c>
      <c r="C29" s="2"/>
      <c r="D29" s="2"/>
      <c r="E29" s="2"/>
      <c r="F29" s="2"/>
      <c r="H29" t="s">
        <v>57</v>
      </c>
      <c r="I29" t="s">
        <v>30</v>
      </c>
      <c r="J29" t="s">
        <v>58</v>
      </c>
      <c r="L29">
        <v>4</v>
      </c>
      <c r="M29">
        <v>0</v>
      </c>
      <c r="O29">
        <f t="shared" si="3"/>
        <v>-8</v>
      </c>
      <c r="P29">
        <f t="shared" si="4"/>
        <v>8</v>
      </c>
    </row>
    <row r="30" spans="1:18" x14ac:dyDescent="0.2">
      <c r="A30" t="s">
        <v>67</v>
      </c>
      <c r="B30" s="2">
        <v>1.8360000000000001E-2</v>
      </c>
      <c r="C30" s="2"/>
      <c r="D30" s="2"/>
      <c r="E30" s="2"/>
      <c r="F30" s="2"/>
      <c r="H30" t="s">
        <v>57</v>
      </c>
      <c r="I30" t="s">
        <v>30</v>
      </c>
      <c r="J30" t="s">
        <v>58</v>
      </c>
      <c r="L30">
        <v>4</v>
      </c>
      <c r="M30">
        <v>0</v>
      </c>
      <c r="O30">
        <f t="shared" si="3"/>
        <v>-8</v>
      </c>
      <c r="P30">
        <f t="shared" si="4"/>
        <v>8</v>
      </c>
    </row>
    <row r="31" spans="1:18" x14ac:dyDescent="0.2">
      <c r="A31" t="s">
        <v>68</v>
      </c>
      <c r="B31" s="2">
        <v>5.2235970000000004E-4</v>
      </c>
      <c r="C31" s="2"/>
      <c r="D31" s="2"/>
      <c r="E31" s="2"/>
      <c r="F31" s="2"/>
      <c r="H31" t="s">
        <v>57</v>
      </c>
      <c r="I31" t="s">
        <v>30</v>
      </c>
      <c r="J31" t="s">
        <v>58</v>
      </c>
      <c r="L31">
        <v>4</v>
      </c>
      <c r="M31">
        <v>0</v>
      </c>
      <c r="O31">
        <f t="shared" si="3"/>
        <v>-8</v>
      </c>
      <c r="P31">
        <f t="shared" si="4"/>
        <v>8</v>
      </c>
    </row>
    <row r="32" spans="1:18" x14ac:dyDescent="0.2">
      <c r="A32" t="s">
        <v>69</v>
      </c>
      <c r="B32" s="2">
        <v>9.4649999999999999</v>
      </c>
      <c r="C32" s="2"/>
      <c r="D32" s="2"/>
      <c r="E32" s="2"/>
      <c r="F32" s="2"/>
      <c r="H32" t="s">
        <v>57</v>
      </c>
      <c r="I32" t="s">
        <v>30</v>
      </c>
      <c r="J32" t="s">
        <v>58</v>
      </c>
      <c r="L32">
        <v>4</v>
      </c>
      <c r="M32">
        <v>0</v>
      </c>
      <c r="O32">
        <f t="shared" si="3"/>
        <v>-8</v>
      </c>
      <c r="P32">
        <f t="shared" si="4"/>
        <v>8</v>
      </c>
    </row>
    <row r="33" spans="1:16" x14ac:dyDescent="0.2">
      <c r="A33" t="s">
        <v>70</v>
      </c>
      <c r="B33" s="2">
        <v>1.7760229799999999E-2</v>
      </c>
      <c r="C33" s="2"/>
      <c r="D33" s="2"/>
      <c r="E33" s="2"/>
      <c r="F33" s="2"/>
      <c r="H33" t="s">
        <v>57</v>
      </c>
      <c r="I33" t="s">
        <v>30</v>
      </c>
      <c r="J33" t="s">
        <v>58</v>
      </c>
      <c r="L33">
        <v>4</v>
      </c>
      <c r="M33">
        <v>0</v>
      </c>
      <c r="O33">
        <f t="shared" si="3"/>
        <v>-8</v>
      </c>
      <c r="P33">
        <f t="shared" si="4"/>
        <v>8</v>
      </c>
    </row>
    <row r="34" spans="1:16" x14ac:dyDescent="0.2">
      <c r="A34" t="s">
        <v>71</v>
      </c>
      <c r="B34" s="2">
        <v>0.20894388</v>
      </c>
      <c r="C34" s="2"/>
      <c r="D34" s="2"/>
      <c r="E34" s="2"/>
      <c r="F34" s="2"/>
      <c r="H34" t="s">
        <v>57</v>
      </c>
      <c r="I34" t="s">
        <v>30</v>
      </c>
      <c r="J34" t="s">
        <v>58</v>
      </c>
      <c r="L34">
        <v>4</v>
      </c>
      <c r="M34">
        <v>0</v>
      </c>
      <c r="O34">
        <f t="shared" si="3"/>
        <v>-8</v>
      </c>
      <c r="P34">
        <f t="shared" si="4"/>
        <v>8</v>
      </c>
    </row>
    <row r="35" spans="1:16" x14ac:dyDescent="0.2">
      <c r="A35" t="s">
        <v>72</v>
      </c>
      <c r="B35" s="2">
        <v>0.167155104</v>
      </c>
      <c r="C35" s="2"/>
      <c r="D35" s="2"/>
      <c r="E35" s="2"/>
      <c r="F35" s="2"/>
      <c r="H35" t="s">
        <v>57</v>
      </c>
      <c r="I35" t="s">
        <v>30</v>
      </c>
      <c r="J35" t="s">
        <v>58</v>
      </c>
      <c r="L35">
        <v>4</v>
      </c>
      <c r="M35">
        <v>0</v>
      </c>
      <c r="O35">
        <f t="shared" si="3"/>
        <v>-8</v>
      </c>
      <c r="P35">
        <f t="shared" si="4"/>
        <v>8</v>
      </c>
    </row>
    <row r="36" spans="1:16" x14ac:dyDescent="0.2">
      <c r="A36" t="s">
        <v>73</v>
      </c>
      <c r="B36" s="2">
        <v>8.6189350500000001E-10</v>
      </c>
      <c r="C36" s="2"/>
      <c r="D36" s="2"/>
      <c r="E36" s="2"/>
      <c r="F36" s="2"/>
      <c r="H36" t="s">
        <v>57</v>
      </c>
      <c r="I36" t="s">
        <v>30</v>
      </c>
      <c r="J36" t="s">
        <v>58</v>
      </c>
      <c r="L36">
        <v>4</v>
      </c>
      <c r="M36">
        <v>0</v>
      </c>
      <c r="O36">
        <f t="shared" si="3"/>
        <v>-8</v>
      </c>
      <c r="P36">
        <f t="shared" si="4"/>
        <v>8</v>
      </c>
    </row>
    <row r="37" spans="1:16" x14ac:dyDescent="0.2">
      <c r="A37" t="s">
        <v>74</v>
      </c>
      <c r="B37" s="2">
        <v>0.54420000000000002</v>
      </c>
      <c r="C37" s="2"/>
      <c r="D37" s="2"/>
      <c r="E37" s="2"/>
      <c r="F37" s="2"/>
      <c r="H37" t="s">
        <v>57</v>
      </c>
      <c r="I37" t="s">
        <v>30</v>
      </c>
      <c r="J37" t="s">
        <v>58</v>
      </c>
      <c r="L37">
        <v>4</v>
      </c>
      <c r="M37">
        <v>0</v>
      </c>
      <c r="O37">
        <f t="shared" si="3"/>
        <v>-8</v>
      </c>
      <c r="P37">
        <f t="shared" si="4"/>
        <v>8</v>
      </c>
    </row>
    <row r="38" spans="1:16" x14ac:dyDescent="0.2">
      <c r="A38" t="s">
        <v>75</v>
      </c>
      <c r="B38" s="2">
        <v>4.2674999999999998E-2</v>
      </c>
      <c r="C38" s="2"/>
      <c r="D38" s="2"/>
      <c r="E38" s="2"/>
      <c r="F38" s="2"/>
      <c r="H38" t="s">
        <v>57</v>
      </c>
      <c r="I38" t="s">
        <v>30</v>
      </c>
      <c r="J38" t="s">
        <v>58</v>
      </c>
      <c r="L38">
        <v>4</v>
      </c>
      <c r="M38">
        <v>0</v>
      </c>
      <c r="O38">
        <f t="shared" si="3"/>
        <v>-8</v>
      </c>
      <c r="P38">
        <f t="shared" si="4"/>
        <v>8</v>
      </c>
    </row>
    <row r="39" spans="1:16" x14ac:dyDescent="0.2">
      <c r="A39" t="s">
        <v>76</v>
      </c>
      <c r="B39" s="2">
        <v>0.29849999999999999</v>
      </c>
      <c r="C39" s="2"/>
      <c r="D39" s="2"/>
      <c r="E39" s="2"/>
      <c r="F39" s="2"/>
      <c r="H39" t="s">
        <v>57</v>
      </c>
      <c r="I39" t="s">
        <v>30</v>
      </c>
      <c r="J39" t="s">
        <v>58</v>
      </c>
      <c r="L39">
        <v>4</v>
      </c>
      <c r="M39">
        <v>0</v>
      </c>
      <c r="O39">
        <f t="shared" si="3"/>
        <v>-8</v>
      </c>
      <c r="P39">
        <f t="shared" si="4"/>
        <v>8</v>
      </c>
    </row>
    <row r="40" spans="1:16" x14ac:dyDescent="0.2">
      <c r="A40" t="s">
        <v>77</v>
      </c>
      <c r="B40" s="2">
        <v>1.0447193999999999E-4</v>
      </c>
      <c r="C40" s="2"/>
      <c r="D40" s="2"/>
      <c r="E40" s="2"/>
      <c r="F40" s="2"/>
      <c r="H40" t="s">
        <v>57</v>
      </c>
      <c r="I40" t="s">
        <v>30</v>
      </c>
      <c r="J40" t="s">
        <v>58</v>
      </c>
      <c r="L40">
        <v>4</v>
      </c>
      <c r="M40">
        <v>0</v>
      </c>
      <c r="O40">
        <f t="shared" si="3"/>
        <v>-8</v>
      </c>
      <c r="P40">
        <f t="shared" si="4"/>
        <v>8</v>
      </c>
    </row>
    <row r="41" spans="1:16" x14ac:dyDescent="0.2">
      <c r="A41" t="s">
        <v>78</v>
      </c>
      <c r="B41" s="2">
        <v>1.9264625736000001E-3</v>
      </c>
      <c r="C41" s="2"/>
      <c r="D41" s="2"/>
      <c r="E41" s="2"/>
      <c r="F41" s="2"/>
      <c r="H41" t="s">
        <v>57</v>
      </c>
      <c r="I41" t="s">
        <v>30</v>
      </c>
      <c r="J41" t="s">
        <v>58</v>
      </c>
      <c r="L41">
        <v>4</v>
      </c>
      <c r="M41">
        <v>0</v>
      </c>
      <c r="O41">
        <f t="shared" si="3"/>
        <v>-8</v>
      </c>
      <c r="P41">
        <f t="shared" si="4"/>
        <v>8</v>
      </c>
    </row>
    <row r="42" spans="1:16" x14ac:dyDescent="0.2">
      <c r="A42" t="s">
        <v>79</v>
      </c>
      <c r="B42" s="2">
        <v>9.8234999999999989E-2</v>
      </c>
      <c r="C42" s="2"/>
      <c r="D42" s="2"/>
      <c r="E42" s="2"/>
      <c r="F42" s="2"/>
      <c r="H42" t="s">
        <v>57</v>
      </c>
      <c r="I42" t="s">
        <v>30</v>
      </c>
      <c r="J42" t="s">
        <v>58</v>
      </c>
      <c r="L42">
        <v>4</v>
      </c>
      <c r="M42">
        <v>0</v>
      </c>
      <c r="O42">
        <f t="shared" si="3"/>
        <v>-8</v>
      </c>
      <c r="P42">
        <f t="shared" si="4"/>
        <v>8</v>
      </c>
    </row>
    <row r="43" spans="1:16" x14ac:dyDescent="0.2">
      <c r="A43" t="s">
        <v>80</v>
      </c>
      <c r="B43" s="2">
        <v>1.9845000000000002E-3</v>
      </c>
      <c r="C43" s="2"/>
      <c r="D43" s="2"/>
      <c r="E43" s="2"/>
      <c r="F43" s="2"/>
      <c r="H43" t="s">
        <v>57</v>
      </c>
      <c r="I43" t="s">
        <v>30</v>
      </c>
      <c r="J43" t="s">
        <v>58</v>
      </c>
      <c r="L43">
        <v>4</v>
      </c>
      <c r="M43">
        <v>0</v>
      </c>
      <c r="O43">
        <f t="shared" si="3"/>
        <v>-8</v>
      </c>
      <c r="P43">
        <f t="shared" si="4"/>
        <v>8</v>
      </c>
    </row>
    <row r="44" spans="1:16" x14ac:dyDescent="0.2">
      <c r="A44" t="s">
        <v>81</v>
      </c>
      <c r="B44" s="2">
        <v>0.17760000000000001</v>
      </c>
      <c r="C44" s="2"/>
      <c r="D44" s="2"/>
      <c r="E44" s="2"/>
      <c r="F44" s="2"/>
      <c r="H44" t="s">
        <v>57</v>
      </c>
      <c r="I44" t="s">
        <v>30</v>
      </c>
      <c r="J44" t="s">
        <v>58</v>
      </c>
      <c r="L44">
        <v>4</v>
      </c>
      <c r="M44">
        <v>0</v>
      </c>
      <c r="O44">
        <f t="shared" si="3"/>
        <v>-8</v>
      </c>
      <c r="P44">
        <f t="shared" si="4"/>
        <v>8</v>
      </c>
    </row>
    <row r="45" spans="1:16" x14ac:dyDescent="0.2">
      <c r="A45" t="s">
        <v>82</v>
      </c>
      <c r="B45" s="2">
        <v>9.922499999999999E-3</v>
      </c>
      <c r="C45" s="2"/>
      <c r="D45" s="2"/>
      <c r="E45" s="2"/>
      <c r="F45" s="2"/>
      <c r="H45" t="s">
        <v>57</v>
      </c>
      <c r="I45" t="s">
        <v>30</v>
      </c>
      <c r="J45" t="s">
        <v>58</v>
      </c>
      <c r="L45">
        <v>4</v>
      </c>
      <c r="M45">
        <v>0</v>
      </c>
      <c r="O45">
        <f t="shared" si="3"/>
        <v>-8</v>
      </c>
      <c r="P45">
        <f t="shared" si="4"/>
        <v>8</v>
      </c>
    </row>
    <row r="46" spans="1:16" x14ac:dyDescent="0.2">
      <c r="A46" t="s">
        <v>83</v>
      </c>
      <c r="B46" s="2">
        <v>0.59534999999999993</v>
      </c>
      <c r="C46" s="2"/>
      <c r="D46" s="2"/>
      <c r="E46" s="2"/>
      <c r="F46" s="2"/>
      <c r="H46" t="s">
        <v>57</v>
      </c>
      <c r="I46" t="s">
        <v>30</v>
      </c>
      <c r="J46" t="s">
        <v>58</v>
      </c>
      <c r="L46">
        <v>4</v>
      </c>
      <c r="M46">
        <v>0</v>
      </c>
      <c r="O46">
        <f t="shared" si="3"/>
        <v>-8</v>
      </c>
      <c r="P46">
        <f t="shared" si="4"/>
        <v>8</v>
      </c>
    </row>
    <row r="47" spans="1:16" x14ac:dyDescent="0.2">
      <c r="A47" t="s">
        <v>84</v>
      </c>
      <c r="B47" s="2">
        <v>1.0447193999999999E-4</v>
      </c>
      <c r="C47" s="2"/>
      <c r="D47" s="2"/>
      <c r="E47" s="2"/>
      <c r="F47" s="2"/>
      <c r="H47" t="s">
        <v>57</v>
      </c>
      <c r="I47" t="s">
        <v>30</v>
      </c>
      <c r="J47" t="s">
        <v>58</v>
      </c>
      <c r="L47">
        <v>4</v>
      </c>
      <c r="M47">
        <v>0</v>
      </c>
      <c r="O47">
        <f t="shared" si="3"/>
        <v>-8</v>
      </c>
      <c r="P47">
        <f t="shared" si="4"/>
        <v>8</v>
      </c>
    </row>
    <row r="48" spans="1:16" x14ac:dyDescent="0.2">
      <c r="A48" t="s">
        <v>85</v>
      </c>
      <c r="B48" s="2">
        <v>0.52235969999999998</v>
      </c>
      <c r="C48" s="2"/>
      <c r="D48" s="2"/>
      <c r="E48" s="2"/>
      <c r="F48" s="2"/>
      <c r="H48" t="s">
        <v>57</v>
      </c>
      <c r="I48" t="s">
        <v>30</v>
      </c>
      <c r="J48" t="s">
        <v>58</v>
      </c>
      <c r="L48">
        <v>4</v>
      </c>
      <c r="M48">
        <v>0</v>
      </c>
      <c r="O48">
        <f t="shared" si="3"/>
        <v>-8</v>
      </c>
      <c r="P48">
        <f t="shared" si="4"/>
        <v>8</v>
      </c>
    </row>
    <row r="49" spans="1:16" x14ac:dyDescent="0.2">
      <c r="A49" t="s">
        <v>86</v>
      </c>
      <c r="B49" s="2">
        <v>5.9534999999999998E-2</v>
      </c>
      <c r="C49" s="2"/>
      <c r="D49" s="2"/>
      <c r="E49" s="2"/>
      <c r="F49" s="2"/>
      <c r="H49" t="s">
        <v>57</v>
      </c>
      <c r="I49" t="s">
        <v>30</v>
      </c>
      <c r="J49" t="s">
        <v>58</v>
      </c>
      <c r="L49">
        <v>4</v>
      </c>
      <c r="M49">
        <v>0</v>
      </c>
      <c r="O49">
        <f t="shared" si="3"/>
        <v>-8</v>
      </c>
      <c r="P49">
        <f t="shared" si="4"/>
        <v>8</v>
      </c>
    </row>
    <row r="50" spans="1:16" x14ac:dyDescent="0.2">
      <c r="A50" t="s">
        <v>87</v>
      </c>
      <c r="B50" s="2">
        <v>3.2250000000000001E-2</v>
      </c>
      <c r="C50" s="2"/>
      <c r="D50" s="2"/>
      <c r="E50" s="2"/>
      <c r="F50" s="2"/>
      <c r="H50" t="s">
        <v>57</v>
      </c>
      <c r="I50" t="s">
        <v>30</v>
      </c>
      <c r="J50" t="s">
        <v>58</v>
      </c>
      <c r="L50">
        <v>4</v>
      </c>
      <c r="M50">
        <v>0</v>
      </c>
      <c r="O50">
        <f t="shared" si="3"/>
        <v>-8</v>
      </c>
      <c r="P50">
        <f t="shared" si="4"/>
        <v>8</v>
      </c>
    </row>
    <row r="51" spans="1:16" x14ac:dyDescent="0.2">
      <c r="A51" t="s">
        <v>88</v>
      </c>
      <c r="B51" s="2">
        <v>1.0447194E-6</v>
      </c>
      <c r="C51" s="2"/>
      <c r="D51" s="2"/>
      <c r="E51" s="2"/>
      <c r="F51" s="2"/>
      <c r="H51" t="s">
        <v>57</v>
      </c>
      <c r="I51" t="s">
        <v>30</v>
      </c>
      <c r="J51" t="s">
        <v>58</v>
      </c>
      <c r="L51">
        <v>4</v>
      </c>
      <c r="M51">
        <v>0</v>
      </c>
      <c r="O51">
        <f t="shared" si="3"/>
        <v>-8</v>
      </c>
      <c r="P51">
        <f t="shared" si="4"/>
        <v>8</v>
      </c>
    </row>
    <row r="52" spans="1:16" x14ac:dyDescent="0.2">
      <c r="A52" t="s">
        <v>89</v>
      </c>
      <c r="B52" s="2">
        <v>5.457E-3</v>
      </c>
      <c r="C52" s="2"/>
      <c r="D52" s="2"/>
      <c r="E52" s="2"/>
      <c r="F52" s="2"/>
      <c r="H52" t="s">
        <v>57</v>
      </c>
      <c r="I52" t="s">
        <v>30</v>
      </c>
      <c r="J52" t="s">
        <v>58</v>
      </c>
      <c r="L52">
        <v>4</v>
      </c>
      <c r="M52">
        <v>0</v>
      </c>
      <c r="O52">
        <f t="shared" si="3"/>
        <v>-8</v>
      </c>
      <c r="P52">
        <f t="shared" si="4"/>
        <v>8</v>
      </c>
    </row>
    <row r="53" spans="1:16" x14ac:dyDescent="0.2">
      <c r="A53" t="s">
        <v>90</v>
      </c>
      <c r="B53" s="2">
        <v>1.33965E-2</v>
      </c>
      <c r="C53" s="2"/>
      <c r="D53" s="2"/>
      <c r="E53" s="2"/>
      <c r="F53" s="2"/>
      <c r="H53" t="s">
        <v>57</v>
      </c>
      <c r="I53" t="s">
        <v>30</v>
      </c>
      <c r="J53" t="s">
        <v>58</v>
      </c>
      <c r="L53">
        <v>4</v>
      </c>
      <c r="M53">
        <v>0</v>
      </c>
      <c r="O53">
        <f t="shared" si="3"/>
        <v>-8</v>
      </c>
      <c r="P53">
        <f t="shared" si="4"/>
        <v>8</v>
      </c>
    </row>
    <row r="54" spans="1:16" x14ac:dyDescent="0.2">
      <c r="A54" t="s">
        <v>91</v>
      </c>
      <c r="B54" s="2">
        <v>0.32100000000000001</v>
      </c>
      <c r="C54" s="2"/>
      <c r="D54" s="2"/>
      <c r="E54" s="2"/>
      <c r="F54" s="2"/>
      <c r="H54" t="s">
        <v>57</v>
      </c>
      <c r="I54" t="s">
        <v>30</v>
      </c>
      <c r="J54" t="s">
        <v>58</v>
      </c>
      <c r="L54">
        <v>4</v>
      </c>
      <c r="M54">
        <v>0</v>
      </c>
      <c r="O54">
        <f t="shared" si="3"/>
        <v>-8</v>
      </c>
      <c r="P54">
        <f t="shared" si="4"/>
        <v>8</v>
      </c>
    </row>
    <row r="55" spans="1:16" x14ac:dyDescent="0.2">
      <c r="A55" t="s">
        <v>92</v>
      </c>
      <c r="B55" s="2">
        <v>101.589</v>
      </c>
      <c r="C55" s="2"/>
      <c r="D55" s="2"/>
      <c r="E55" s="2"/>
      <c r="F55" s="2"/>
      <c r="H55" t="s">
        <v>57</v>
      </c>
      <c r="I55" t="s">
        <v>30</v>
      </c>
      <c r="J55" t="s">
        <v>58</v>
      </c>
      <c r="L55">
        <v>4</v>
      </c>
      <c r="M55">
        <v>0</v>
      </c>
      <c r="O55">
        <f t="shared" si="3"/>
        <v>-8</v>
      </c>
      <c r="P55">
        <f t="shared" si="4"/>
        <v>8</v>
      </c>
    </row>
    <row r="56" spans="1:16" x14ac:dyDescent="0.2">
      <c r="A56" t="s">
        <v>93</v>
      </c>
      <c r="B56" s="2">
        <v>2.0894388000000001E-7</v>
      </c>
      <c r="C56" s="2"/>
      <c r="D56" s="2"/>
      <c r="E56" s="2"/>
      <c r="F56" s="2"/>
      <c r="H56" t="s">
        <v>57</v>
      </c>
      <c r="I56" t="s">
        <v>30</v>
      </c>
      <c r="J56" t="s">
        <v>58</v>
      </c>
      <c r="L56">
        <v>4</v>
      </c>
      <c r="M56">
        <v>0</v>
      </c>
      <c r="O56">
        <f t="shared" si="3"/>
        <v>-8</v>
      </c>
      <c r="P56">
        <f t="shared" si="4"/>
        <v>8</v>
      </c>
    </row>
    <row r="57" spans="1:16" x14ac:dyDescent="0.2">
      <c r="A57" t="s">
        <v>94</v>
      </c>
      <c r="B57" s="2">
        <v>0.17865</v>
      </c>
      <c r="C57" s="2"/>
      <c r="D57" s="2"/>
      <c r="E57" s="2"/>
      <c r="F57" s="2"/>
      <c r="H57" t="s">
        <v>57</v>
      </c>
      <c r="I57" t="s">
        <v>30</v>
      </c>
      <c r="J57" t="s">
        <v>58</v>
      </c>
      <c r="L57">
        <v>4</v>
      </c>
      <c r="M57">
        <v>0</v>
      </c>
      <c r="O57">
        <f t="shared" si="3"/>
        <v>-8</v>
      </c>
      <c r="P57">
        <f t="shared" si="4"/>
        <v>8</v>
      </c>
    </row>
    <row r="58" spans="1:16" x14ac:dyDescent="0.2">
      <c r="A58" t="s">
        <v>95</v>
      </c>
      <c r="B58" s="2">
        <v>0.14585999999999999</v>
      </c>
      <c r="C58" s="2"/>
      <c r="D58" s="2"/>
      <c r="E58" s="2"/>
      <c r="F58" s="2"/>
      <c r="H58" t="s">
        <v>57</v>
      </c>
      <c r="I58" t="s">
        <v>30</v>
      </c>
      <c r="J58" t="s">
        <v>58</v>
      </c>
      <c r="L58">
        <v>4</v>
      </c>
      <c r="M58">
        <v>0</v>
      </c>
      <c r="O58">
        <f t="shared" si="3"/>
        <v>-8</v>
      </c>
      <c r="P58">
        <f t="shared" si="4"/>
        <v>8</v>
      </c>
    </row>
    <row r="59" spans="1:16" x14ac:dyDescent="0.2">
      <c r="A59" t="s">
        <v>96</v>
      </c>
      <c r="B59" s="2">
        <v>0.28719</v>
      </c>
      <c r="C59" s="2"/>
      <c r="D59" s="2"/>
      <c r="E59" s="2"/>
      <c r="F59" s="2"/>
      <c r="H59" t="s">
        <v>57</v>
      </c>
      <c r="I59" t="s">
        <v>30</v>
      </c>
      <c r="J59" t="s">
        <v>58</v>
      </c>
      <c r="L59">
        <v>4</v>
      </c>
      <c r="M59">
        <v>0</v>
      </c>
      <c r="O59">
        <f t="shared" si="3"/>
        <v>-8</v>
      </c>
      <c r="P59">
        <f t="shared" si="4"/>
        <v>8</v>
      </c>
    </row>
    <row r="60" spans="1:16" x14ac:dyDescent="0.2">
      <c r="A60" t="s">
        <v>97</v>
      </c>
      <c r="B60" s="2">
        <v>1.0447194E-2</v>
      </c>
      <c r="C60" s="2"/>
      <c r="D60" s="2"/>
      <c r="E60" s="2"/>
      <c r="F60" s="2"/>
      <c r="H60" t="s">
        <v>57</v>
      </c>
      <c r="I60" t="s">
        <v>30</v>
      </c>
      <c r="J60" t="s">
        <v>58</v>
      </c>
      <c r="L60">
        <v>4</v>
      </c>
      <c r="M60">
        <v>0</v>
      </c>
      <c r="O60">
        <f t="shared" si="3"/>
        <v>-8</v>
      </c>
      <c r="P60">
        <f t="shared" si="4"/>
        <v>8</v>
      </c>
    </row>
    <row r="61" spans="1:16" x14ac:dyDescent="0.2">
      <c r="A61" t="s">
        <v>98</v>
      </c>
      <c r="B61" s="2">
        <v>5.457E-3</v>
      </c>
      <c r="C61" s="2"/>
      <c r="D61" s="2"/>
      <c r="E61" s="2"/>
      <c r="F61" s="2"/>
      <c r="H61" t="s">
        <v>57</v>
      </c>
      <c r="I61" t="s">
        <v>30</v>
      </c>
      <c r="J61" t="s">
        <v>58</v>
      </c>
      <c r="L61">
        <v>4</v>
      </c>
      <c r="M61">
        <v>0</v>
      </c>
      <c r="O61">
        <f t="shared" si="3"/>
        <v>-8</v>
      </c>
      <c r="P61">
        <f t="shared" si="4"/>
        <v>8</v>
      </c>
    </row>
    <row r="62" spans="1:16" x14ac:dyDescent="0.2">
      <c r="A62" t="s">
        <v>99</v>
      </c>
      <c r="B62" s="2">
        <v>3.0269999999999998E-2</v>
      </c>
      <c r="C62" s="2"/>
      <c r="D62" s="2"/>
      <c r="E62" s="2"/>
      <c r="F62" s="2"/>
      <c r="H62" t="s">
        <v>57</v>
      </c>
      <c r="I62" t="s">
        <v>30</v>
      </c>
      <c r="J62" t="s">
        <v>58</v>
      </c>
      <c r="L62">
        <v>4</v>
      </c>
      <c r="M62">
        <v>0</v>
      </c>
      <c r="O62">
        <f t="shared" si="3"/>
        <v>-8</v>
      </c>
      <c r="P62">
        <f t="shared" si="4"/>
        <v>8</v>
      </c>
    </row>
    <row r="64" spans="1:16" s="1" customFormat="1" x14ac:dyDescent="0.2">
      <c r="A64" s="1" t="s">
        <v>2</v>
      </c>
      <c r="B64" s="1" t="str">
        <f>A75</f>
        <v>transport, passenger, car, battery electric</v>
      </c>
    </row>
    <row r="65" spans="1:17" x14ac:dyDescent="0.2">
      <c r="A65" t="s">
        <v>3</v>
      </c>
      <c r="B65" t="str">
        <f>K75</f>
        <v>transport, passenger, car</v>
      </c>
    </row>
    <row r="66" spans="1:17" x14ac:dyDescent="0.2">
      <c r="A66" t="s">
        <v>4</v>
      </c>
      <c r="B66" t="str">
        <f>G75</f>
        <v>RER</v>
      </c>
    </row>
    <row r="67" spans="1:17" x14ac:dyDescent="0.2">
      <c r="A67" t="s">
        <v>5</v>
      </c>
      <c r="B67" t="str">
        <f>I75</f>
        <v>kilometer</v>
      </c>
    </row>
    <row r="68" spans="1:17" x14ac:dyDescent="0.2">
      <c r="A68" t="s">
        <v>6</v>
      </c>
      <c r="B68">
        <v>150000</v>
      </c>
    </row>
    <row r="69" spans="1:17" x14ac:dyDescent="0.2">
      <c r="A69" t="s">
        <v>8</v>
      </c>
      <c r="B69">
        <v>16</v>
      </c>
    </row>
    <row r="70" spans="1:17" x14ac:dyDescent="0.2">
      <c r="A70" t="s">
        <v>100</v>
      </c>
      <c r="B70">
        <v>20</v>
      </c>
    </row>
    <row r="71" spans="1:17" x14ac:dyDescent="0.2">
      <c r="A71" t="s">
        <v>9</v>
      </c>
      <c r="B71">
        <v>8</v>
      </c>
    </row>
    <row r="72" spans="1:17" x14ac:dyDescent="0.2">
      <c r="A72" t="s">
        <v>10</v>
      </c>
      <c r="B72" t="s">
        <v>11</v>
      </c>
    </row>
    <row r="73" spans="1:17" x14ac:dyDescent="0.2">
      <c r="A73" s="1" t="s">
        <v>12</v>
      </c>
    </row>
    <row r="74" spans="1:17" s="1" customFormat="1" x14ac:dyDescent="0.2">
      <c r="A74" s="1" t="s">
        <v>13</v>
      </c>
      <c r="B74" s="1" t="s">
        <v>14</v>
      </c>
      <c r="C74" s="1">
        <v>2020</v>
      </c>
      <c r="D74" s="1">
        <v>2040</v>
      </c>
      <c r="E74" s="1">
        <v>2060</v>
      </c>
      <c r="F74" s="1">
        <v>2080</v>
      </c>
      <c r="G74" s="1" t="s">
        <v>4</v>
      </c>
      <c r="H74" s="1" t="s">
        <v>15</v>
      </c>
      <c r="I74" s="1" t="s">
        <v>5</v>
      </c>
      <c r="J74" s="1" t="s">
        <v>16</v>
      </c>
      <c r="K74" s="1" t="s">
        <v>3</v>
      </c>
      <c r="L74" s="1" t="s">
        <v>17</v>
      </c>
      <c r="M74" s="1" t="s">
        <v>18</v>
      </c>
      <c r="N74" s="1" t="s">
        <v>19</v>
      </c>
      <c r="O74" s="1" t="s">
        <v>20</v>
      </c>
      <c r="P74" s="1" t="s">
        <v>21</v>
      </c>
      <c r="Q74" s="1" t="s">
        <v>22</v>
      </c>
    </row>
    <row r="75" spans="1:17" x14ac:dyDescent="0.2">
      <c r="A75" t="s">
        <v>101</v>
      </c>
      <c r="B75">
        <f>B68</f>
        <v>150000</v>
      </c>
      <c r="G75" t="s">
        <v>24</v>
      </c>
      <c r="I75" t="s">
        <v>25</v>
      </c>
      <c r="J75" t="s">
        <v>26</v>
      </c>
      <c r="K75" t="s">
        <v>27</v>
      </c>
    </row>
    <row r="76" spans="1:17" x14ac:dyDescent="0.2">
      <c r="A76" t="s">
        <v>102</v>
      </c>
      <c r="B76" s="2">
        <f>-393</f>
        <v>-393</v>
      </c>
      <c r="C76" s="2"/>
      <c r="D76" s="2"/>
      <c r="E76" s="2"/>
      <c r="F76" s="2"/>
      <c r="G76" t="s">
        <v>29</v>
      </c>
      <c r="I76" t="s">
        <v>30</v>
      </c>
      <c r="J76" t="s">
        <v>31</v>
      </c>
      <c r="K76" t="s">
        <v>103</v>
      </c>
      <c r="L76">
        <v>1</v>
      </c>
      <c r="M76" s="7">
        <v>17</v>
      </c>
      <c r="N76" s="7"/>
    </row>
    <row r="77" spans="1:17" x14ac:dyDescent="0.2">
      <c r="A77" t="s">
        <v>28</v>
      </c>
      <c r="B77" s="2">
        <f>-0.15755937</f>
        <v>-0.15755937</v>
      </c>
      <c r="C77" s="2"/>
      <c r="D77" s="2"/>
      <c r="E77" s="2"/>
      <c r="F77" s="2"/>
      <c r="G77" t="s">
        <v>29</v>
      </c>
      <c r="I77" t="s">
        <v>30</v>
      </c>
      <c r="J77" t="s">
        <v>31</v>
      </c>
      <c r="K77" t="s">
        <v>32</v>
      </c>
      <c r="L77">
        <v>4</v>
      </c>
      <c r="O77">
        <v>0</v>
      </c>
      <c r="P77">
        <v>16</v>
      </c>
    </row>
    <row r="78" spans="1:17" x14ac:dyDescent="0.2">
      <c r="A78" t="s">
        <v>34</v>
      </c>
      <c r="B78" s="2">
        <f>-1.73315307</f>
        <v>-1.73315307</v>
      </c>
      <c r="C78" s="2"/>
      <c r="D78" s="2"/>
      <c r="E78" s="2"/>
      <c r="F78" s="2"/>
      <c r="G78" t="s">
        <v>29</v>
      </c>
      <c r="I78" t="s">
        <v>30</v>
      </c>
      <c r="J78" t="s">
        <v>31</v>
      </c>
      <c r="K78" t="s">
        <v>35</v>
      </c>
      <c r="L78">
        <v>4</v>
      </c>
      <c r="O78">
        <v>0</v>
      </c>
      <c r="P78">
        <v>16</v>
      </c>
    </row>
    <row r="79" spans="1:17" x14ac:dyDescent="0.2">
      <c r="A79" t="s">
        <v>36</v>
      </c>
      <c r="B79" s="2">
        <f>-10.13513925</f>
        <v>-10.13513925</v>
      </c>
      <c r="C79" s="2"/>
      <c r="D79" s="2"/>
      <c r="E79" s="2"/>
      <c r="F79" s="2"/>
      <c r="G79" t="s">
        <v>29</v>
      </c>
      <c r="I79" t="s">
        <v>30</v>
      </c>
      <c r="J79" t="s">
        <v>31</v>
      </c>
      <c r="K79" t="s">
        <v>37</v>
      </c>
      <c r="L79">
        <v>4</v>
      </c>
      <c r="O79">
        <v>0</v>
      </c>
      <c r="P79">
        <v>16</v>
      </c>
    </row>
    <row r="80" spans="1:17" x14ac:dyDescent="0.2">
      <c r="A80" t="s">
        <v>104</v>
      </c>
      <c r="B80" s="2">
        <f>1</f>
        <v>1</v>
      </c>
      <c r="C80" s="2"/>
      <c r="D80" s="2"/>
      <c r="E80" s="2"/>
      <c r="F80" s="2"/>
      <c r="G80" t="s">
        <v>29</v>
      </c>
      <c r="I80" t="s">
        <v>5</v>
      </c>
      <c r="J80" t="s">
        <v>31</v>
      </c>
      <c r="K80" t="s">
        <v>104</v>
      </c>
      <c r="L80">
        <v>4</v>
      </c>
      <c r="O80">
        <v>0</v>
      </c>
      <c r="P80">
        <v>16</v>
      </c>
    </row>
    <row r="81" spans="1:16" x14ac:dyDescent="0.2">
      <c r="A81" t="s">
        <v>105</v>
      </c>
      <c r="B81" s="3">
        <f>B70/100*B68</f>
        <v>30000</v>
      </c>
      <c r="C81" s="2"/>
      <c r="D81" s="2"/>
      <c r="E81" s="2"/>
      <c r="F81" s="2"/>
      <c r="G81" t="s">
        <v>24</v>
      </c>
      <c r="I81" t="s">
        <v>106</v>
      </c>
      <c r="J81" t="s">
        <v>31</v>
      </c>
      <c r="K81" t="s">
        <v>107</v>
      </c>
      <c r="L81">
        <v>4</v>
      </c>
      <c r="O81">
        <v>0</v>
      </c>
      <c r="P81">
        <v>16</v>
      </c>
    </row>
    <row r="82" spans="1:16" x14ac:dyDescent="0.2">
      <c r="A82" t="s">
        <v>38</v>
      </c>
      <c r="B82" s="2">
        <f>73.122</f>
        <v>73.122</v>
      </c>
      <c r="C82" s="2"/>
      <c r="D82" s="2"/>
      <c r="E82" s="2"/>
      <c r="F82" s="2"/>
      <c r="G82" t="s">
        <v>39</v>
      </c>
      <c r="I82" t="s">
        <v>40</v>
      </c>
      <c r="J82" t="s">
        <v>31</v>
      </c>
      <c r="K82" t="s">
        <v>41</v>
      </c>
      <c r="L82">
        <v>4</v>
      </c>
      <c r="O82">
        <v>-40</v>
      </c>
      <c r="P82">
        <v>-1</v>
      </c>
    </row>
    <row r="83" spans="1:16" x14ac:dyDescent="0.2">
      <c r="A83" t="s">
        <v>47</v>
      </c>
      <c r="B83" s="2">
        <v>39.799999999999997</v>
      </c>
      <c r="C83" s="2"/>
      <c r="D83" s="2"/>
      <c r="E83" s="2"/>
      <c r="F83" s="2"/>
      <c r="G83" t="s">
        <v>50</v>
      </c>
      <c r="I83" t="s">
        <v>40</v>
      </c>
      <c r="J83" t="s">
        <v>31</v>
      </c>
      <c r="K83" t="s">
        <v>47</v>
      </c>
      <c r="L83">
        <v>4</v>
      </c>
      <c r="O83">
        <v>0</v>
      </c>
      <c r="P83">
        <v>16</v>
      </c>
    </row>
    <row r="84" spans="1:16" x14ac:dyDescent="0.2">
      <c r="A84" t="s">
        <v>108</v>
      </c>
      <c r="B84" s="2">
        <f>918.22</f>
        <v>918.22</v>
      </c>
      <c r="C84" s="2"/>
      <c r="D84" s="2"/>
      <c r="E84" s="2"/>
      <c r="F84" s="2"/>
      <c r="G84" t="s">
        <v>29</v>
      </c>
      <c r="I84" t="s">
        <v>30</v>
      </c>
      <c r="J84" t="s">
        <v>31</v>
      </c>
      <c r="K84" t="s">
        <v>109</v>
      </c>
      <c r="L84">
        <v>4</v>
      </c>
      <c r="M84" s="7"/>
      <c r="N84" s="7"/>
      <c r="O84">
        <v>-4</v>
      </c>
      <c r="P84">
        <v>-1</v>
      </c>
    </row>
    <row r="85" spans="1:16" x14ac:dyDescent="0.2">
      <c r="A85" t="s">
        <v>110</v>
      </c>
      <c r="B85" s="2">
        <f>460</f>
        <v>460</v>
      </c>
      <c r="C85" s="2"/>
      <c r="D85" s="2"/>
      <c r="E85" s="2"/>
      <c r="F85" s="2"/>
      <c r="G85" t="s">
        <v>111</v>
      </c>
      <c r="I85" t="s">
        <v>30</v>
      </c>
      <c r="J85" t="s">
        <v>31</v>
      </c>
      <c r="K85" t="s">
        <v>112</v>
      </c>
      <c r="L85">
        <v>4</v>
      </c>
      <c r="M85" s="7"/>
      <c r="N85" s="7"/>
      <c r="O85">
        <v>-3</v>
      </c>
      <c r="P85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5"/>
  <sheetViews>
    <sheetView workbookViewId="0">
      <selection activeCell="Q34" sqref="Q34"/>
    </sheetView>
  </sheetViews>
  <sheetFormatPr baseColWidth="10" defaultRowHeight="15" x14ac:dyDescent="0.2"/>
  <cols>
    <col min="1" max="1" width="36.6640625" bestFit="1" customWidth="1"/>
    <col min="2" max="2" width="26.1640625" customWidth="1"/>
    <col min="15" max="15" width="12.1640625" bestFit="1" customWidth="1"/>
    <col min="16" max="16" width="12.33203125" bestFit="1" customWidth="1"/>
  </cols>
  <sheetData>
    <row r="1" spans="1:18" s="1" customFormat="1" x14ac:dyDescent="0.2">
      <c r="A1" s="1" t="s">
        <v>2</v>
      </c>
      <c r="B1" s="1" t="str">
        <f>A13</f>
        <v>heating, from wood logs stove</v>
      </c>
    </row>
    <row r="2" spans="1:18" x14ac:dyDescent="0.2">
      <c r="A2" t="s">
        <v>3</v>
      </c>
      <c r="B2" t="s">
        <v>113</v>
      </c>
    </row>
    <row r="3" spans="1:18" x14ac:dyDescent="0.2">
      <c r="A3" t="s">
        <v>4</v>
      </c>
      <c r="B3" t="str">
        <f>G13</f>
        <v>RER</v>
      </c>
    </row>
    <row r="4" spans="1:18" x14ac:dyDescent="0.2">
      <c r="A4" t="s">
        <v>5</v>
      </c>
      <c r="B4" t="str">
        <f>I13</f>
        <v>megajoule</v>
      </c>
    </row>
    <row r="5" spans="1:18" x14ac:dyDescent="0.2">
      <c r="A5" t="s">
        <v>114</v>
      </c>
      <c r="B5">
        <v>30</v>
      </c>
    </row>
    <row r="6" spans="1:18" x14ac:dyDescent="0.2">
      <c r="A6" t="s">
        <v>115</v>
      </c>
      <c r="B6">
        <v>20</v>
      </c>
    </row>
    <row r="7" spans="1:18" x14ac:dyDescent="0.2">
      <c r="A7" t="s">
        <v>116</v>
      </c>
      <c r="B7">
        <v>0.81</v>
      </c>
    </row>
    <row r="8" spans="1:18" x14ac:dyDescent="0.2">
      <c r="A8" t="s">
        <v>117</v>
      </c>
      <c r="B8">
        <v>1600</v>
      </c>
    </row>
    <row r="9" spans="1:18" x14ac:dyDescent="0.2">
      <c r="A9" t="s">
        <v>118</v>
      </c>
      <c r="B9" s="5">
        <f>B8*B5*3.6</f>
        <v>172800</v>
      </c>
    </row>
    <row r="10" spans="1:18" x14ac:dyDescent="0.2">
      <c r="A10" t="s">
        <v>10</v>
      </c>
      <c r="B10" t="s">
        <v>11</v>
      </c>
    </row>
    <row r="11" spans="1:18" x14ac:dyDescent="0.2">
      <c r="A11" s="1" t="s">
        <v>12</v>
      </c>
    </row>
    <row r="12" spans="1:18" s="1" customFormat="1" x14ac:dyDescent="0.2">
      <c r="A12" s="1" t="s">
        <v>13</v>
      </c>
      <c r="B12" s="1" t="s">
        <v>14</v>
      </c>
      <c r="C12" s="1">
        <v>2020</v>
      </c>
      <c r="D12" s="1">
        <v>2040</v>
      </c>
      <c r="E12" s="1">
        <v>2060</v>
      </c>
      <c r="F12" s="1">
        <v>2080</v>
      </c>
      <c r="G12" s="1" t="s">
        <v>4</v>
      </c>
      <c r="H12" s="1" t="s">
        <v>15</v>
      </c>
      <c r="I12" s="1" t="s">
        <v>5</v>
      </c>
      <c r="J12" s="1" t="s">
        <v>16</v>
      </c>
      <c r="K12" s="1" t="s">
        <v>3</v>
      </c>
      <c r="L12" s="1" t="s">
        <v>17</v>
      </c>
      <c r="M12" s="1" t="s">
        <v>18</v>
      </c>
      <c r="N12" s="1" t="s">
        <v>19</v>
      </c>
      <c r="O12" s="1" t="s">
        <v>20</v>
      </c>
      <c r="P12" s="1" t="s">
        <v>21</v>
      </c>
      <c r="Q12" s="1" t="s">
        <v>22</v>
      </c>
      <c r="R12" s="1" t="s">
        <v>10</v>
      </c>
    </row>
    <row r="13" spans="1:18" x14ac:dyDescent="0.2">
      <c r="A13" t="s">
        <v>119</v>
      </c>
      <c r="B13" s="6">
        <f>B9</f>
        <v>172800</v>
      </c>
      <c r="G13" t="s">
        <v>24</v>
      </c>
      <c r="I13" t="s">
        <v>120</v>
      </c>
      <c r="J13" t="s">
        <v>26</v>
      </c>
      <c r="K13" t="s">
        <v>113</v>
      </c>
    </row>
    <row r="14" spans="1:18" x14ac:dyDescent="0.2">
      <c r="A14" t="s">
        <v>121</v>
      </c>
      <c r="B14">
        <v>13305.60000000002</v>
      </c>
      <c r="G14" t="s">
        <v>122</v>
      </c>
      <c r="I14" t="s">
        <v>30</v>
      </c>
      <c r="J14" t="s">
        <v>31</v>
      </c>
      <c r="K14" t="s">
        <v>123</v>
      </c>
      <c r="L14">
        <v>4</v>
      </c>
      <c r="O14">
        <v>0</v>
      </c>
      <c r="P14">
        <v>20</v>
      </c>
    </row>
    <row r="15" spans="1:18" x14ac:dyDescent="0.2">
      <c r="A15" t="s">
        <v>124</v>
      </c>
      <c r="B15" s="4">
        <v>5.3333333333333337E-2</v>
      </c>
      <c r="G15" t="s">
        <v>122</v>
      </c>
      <c r="I15" t="s">
        <v>5</v>
      </c>
      <c r="J15" t="s">
        <v>31</v>
      </c>
      <c r="K15" t="s">
        <v>125</v>
      </c>
      <c r="L15">
        <v>3</v>
      </c>
      <c r="M15">
        <v>-4</v>
      </c>
      <c r="N15">
        <v>1</v>
      </c>
      <c r="O15">
        <v>-15</v>
      </c>
      <c r="P15">
        <v>-1</v>
      </c>
    </row>
    <row r="16" spans="1:18" x14ac:dyDescent="0.2">
      <c r="A16" t="s">
        <v>126</v>
      </c>
      <c r="B16">
        <v>686.26285714285859</v>
      </c>
      <c r="G16" t="s">
        <v>122</v>
      </c>
      <c r="I16" t="s">
        <v>106</v>
      </c>
      <c r="J16" t="s">
        <v>31</v>
      </c>
      <c r="K16" t="s">
        <v>107</v>
      </c>
      <c r="L16">
        <v>4</v>
      </c>
      <c r="O16">
        <v>0</v>
      </c>
      <c r="P16">
        <v>20</v>
      </c>
    </row>
    <row r="17" spans="1:20" x14ac:dyDescent="0.2">
      <c r="A17" t="s">
        <v>59</v>
      </c>
      <c r="B17">
        <v>24216.68571428569</v>
      </c>
      <c r="H17" t="s">
        <v>57</v>
      </c>
      <c r="I17" t="s">
        <v>30</v>
      </c>
      <c r="J17" t="s">
        <v>58</v>
      </c>
      <c r="L17">
        <v>4</v>
      </c>
      <c r="O17">
        <v>0</v>
      </c>
      <c r="P17">
        <v>20</v>
      </c>
    </row>
    <row r="18" spans="1:20" x14ac:dyDescent="0.2">
      <c r="A18" t="s">
        <v>127</v>
      </c>
      <c r="B18">
        <v>-96.767999999999986</v>
      </c>
      <c r="G18" t="s">
        <v>122</v>
      </c>
      <c r="I18" t="s">
        <v>30</v>
      </c>
      <c r="J18" t="s">
        <v>31</v>
      </c>
      <c r="K18" t="s">
        <v>128</v>
      </c>
      <c r="L18">
        <v>4</v>
      </c>
      <c r="O18">
        <v>0</v>
      </c>
      <c r="P18">
        <v>20</v>
      </c>
    </row>
    <row r="20" spans="1:20" s="1" customFormat="1" x14ac:dyDescent="0.2">
      <c r="A20" s="1" t="s">
        <v>2</v>
      </c>
      <c r="B20" s="1" t="str">
        <f>A32</f>
        <v>heating, from heat pump</v>
      </c>
    </row>
    <row r="21" spans="1:20" x14ac:dyDescent="0.2">
      <c r="A21" t="s">
        <v>3</v>
      </c>
      <c r="B21" t="s">
        <v>113</v>
      </c>
    </row>
    <row r="22" spans="1:20" x14ac:dyDescent="0.2">
      <c r="A22" t="s">
        <v>4</v>
      </c>
      <c r="B22" t="str">
        <f>G32</f>
        <v>RER</v>
      </c>
    </row>
    <row r="23" spans="1:20" x14ac:dyDescent="0.2">
      <c r="A23" t="s">
        <v>5</v>
      </c>
      <c r="B23" t="str">
        <f>I32</f>
        <v>megajoule</v>
      </c>
    </row>
    <row r="24" spans="1:20" x14ac:dyDescent="0.2">
      <c r="A24" t="s">
        <v>114</v>
      </c>
      <c r="B24">
        <v>30</v>
      </c>
    </row>
    <row r="25" spans="1:20" x14ac:dyDescent="0.2">
      <c r="A25" t="s">
        <v>115</v>
      </c>
      <c r="B25">
        <v>20</v>
      </c>
    </row>
    <row r="26" spans="1:20" x14ac:dyDescent="0.2">
      <c r="A26" t="s">
        <v>116</v>
      </c>
      <c r="B26">
        <v>2.8</v>
      </c>
    </row>
    <row r="27" spans="1:20" x14ac:dyDescent="0.2">
      <c r="A27" t="s">
        <v>117</v>
      </c>
      <c r="B27">
        <v>1600</v>
      </c>
    </row>
    <row r="28" spans="1:20" x14ac:dyDescent="0.2">
      <c r="A28" t="s">
        <v>118</v>
      </c>
      <c r="B28" s="5">
        <f>B27*B24*3.6</f>
        <v>172800</v>
      </c>
    </row>
    <row r="29" spans="1:20" x14ac:dyDescent="0.2">
      <c r="A29" t="s">
        <v>10</v>
      </c>
      <c r="B29" t="s">
        <v>11</v>
      </c>
    </row>
    <row r="30" spans="1:20" x14ac:dyDescent="0.2">
      <c r="A30" s="1" t="s">
        <v>12</v>
      </c>
    </row>
    <row r="31" spans="1:20" s="1" customFormat="1" x14ac:dyDescent="0.2">
      <c r="A31" s="1" t="s">
        <v>13</v>
      </c>
      <c r="B31" s="1" t="s">
        <v>14</v>
      </c>
      <c r="C31" s="1">
        <v>2020</v>
      </c>
      <c r="D31" s="1">
        <v>2040</v>
      </c>
      <c r="E31" s="1">
        <v>2060</v>
      </c>
      <c r="F31" s="1">
        <v>2080</v>
      </c>
      <c r="G31" s="1" t="s">
        <v>4</v>
      </c>
      <c r="H31" s="1" t="s">
        <v>15</v>
      </c>
      <c r="I31" s="1" t="s">
        <v>5</v>
      </c>
      <c r="J31" s="1" t="s">
        <v>16</v>
      </c>
      <c r="K31" s="1" t="s">
        <v>3</v>
      </c>
      <c r="L31" s="1" t="s">
        <v>17</v>
      </c>
      <c r="M31" s="1" t="s">
        <v>18</v>
      </c>
      <c r="N31" s="1" t="s">
        <v>19</v>
      </c>
      <c r="O31" s="1" t="s">
        <v>20</v>
      </c>
      <c r="P31" s="1" t="s">
        <v>21</v>
      </c>
      <c r="Q31" s="1" t="s">
        <v>129</v>
      </c>
      <c r="R31" s="1" t="s">
        <v>130</v>
      </c>
      <c r="S31" s="1" t="s">
        <v>22</v>
      </c>
      <c r="T31" s="1" t="s">
        <v>10</v>
      </c>
    </row>
    <row r="32" spans="1:20" x14ac:dyDescent="0.2">
      <c r="A32" t="s">
        <v>131</v>
      </c>
      <c r="B32" s="6">
        <f>B28</f>
        <v>172800</v>
      </c>
      <c r="G32" t="s">
        <v>24</v>
      </c>
      <c r="I32" t="s">
        <v>120</v>
      </c>
      <c r="J32" t="s">
        <v>26</v>
      </c>
      <c r="K32" t="s">
        <v>113</v>
      </c>
    </row>
    <row r="33" spans="1:18" x14ac:dyDescent="0.2">
      <c r="A33" t="s">
        <v>132</v>
      </c>
      <c r="B33" s="4">
        <f>0.00599616*2</f>
        <v>1.1992320000000001E-2</v>
      </c>
      <c r="G33" t="s">
        <v>29</v>
      </c>
      <c r="I33" t="s">
        <v>5</v>
      </c>
      <c r="J33" t="s">
        <v>31</v>
      </c>
      <c r="K33" t="s">
        <v>133</v>
      </c>
      <c r="L33">
        <v>6</v>
      </c>
      <c r="Q33" t="s">
        <v>134</v>
      </c>
      <c r="R33" t="s">
        <v>135</v>
      </c>
    </row>
    <row r="34" spans="1:18" x14ac:dyDescent="0.2">
      <c r="A34" t="s">
        <v>105</v>
      </c>
      <c r="B34" s="6">
        <f>B32/2.9/3.6</f>
        <v>16551.724137931033</v>
      </c>
      <c r="G34" t="s">
        <v>24</v>
      </c>
      <c r="I34" t="s">
        <v>106</v>
      </c>
      <c r="J34" t="s">
        <v>31</v>
      </c>
      <c r="K34" t="s">
        <v>107</v>
      </c>
      <c r="L34">
        <v>4</v>
      </c>
      <c r="O34">
        <v>0</v>
      </c>
      <c r="P34">
        <v>20</v>
      </c>
    </row>
    <row r="35" spans="1:18" x14ac:dyDescent="0.2">
      <c r="A35" t="s">
        <v>136</v>
      </c>
      <c r="B35" s="4">
        <v>6.7910399999999996E-2</v>
      </c>
      <c r="H35" t="s">
        <v>57</v>
      </c>
      <c r="I35" t="s">
        <v>30</v>
      </c>
      <c r="J35" t="s">
        <v>58</v>
      </c>
      <c r="L35">
        <v>4</v>
      </c>
      <c r="O35">
        <v>0</v>
      </c>
      <c r="P3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passenger cars</vt:lpstr>
      <vt:lpstr>heating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Romain Sacchi</cp:lastModifiedBy>
  <dcterms:created xsi:type="dcterms:W3CDTF">2026-02-07T13:43:55Z</dcterms:created>
  <dcterms:modified xsi:type="dcterms:W3CDTF">2026-06-15T17:43:05Z</dcterms:modified>
</cp:coreProperties>
</file>