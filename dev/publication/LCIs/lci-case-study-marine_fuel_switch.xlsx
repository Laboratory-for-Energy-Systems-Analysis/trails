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main/GitHub/trails/dev/publication/LCIs/"/>
    </mc:Choice>
  </mc:AlternateContent>
  <xr:revisionPtr revIDLastSave="0" documentId="13_ncr:1_{2D61204D-CCBB-C04B-AB19-6703B137B9A0}" xr6:coauthVersionLast="47" xr6:coauthVersionMax="47" xr10:uidLastSave="{00000000-0000-0000-0000-000000000000}"/>
  <bookViews>
    <workbookView xWindow="4680" yWindow="660" windowWidth="25820" windowHeight="18980" xr2:uid="{00000000-000D-0000-FFFF-FFFF00000000}"/>
  </bookViews>
  <sheets>
    <sheet name="marine fuel swi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F24" i="1"/>
  <c r="F22" i="1"/>
  <c r="F21" i="1"/>
  <c r="F20" i="1"/>
  <c r="F19" i="1"/>
  <c r="F18" i="1"/>
  <c r="F17" i="1"/>
  <c r="F16" i="1"/>
  <c r="E24" i="1"/>
  <c r="E22" i="1"/>
  <c r="E21" i="1"/>
  <c r="E20" i="1"/>
  <c r="E19" i="1"/>
  <c r="E18" i="1"/>
  <c r="E17" i="1"/>
  <c r="E16" i="1"/>
  <c r="D24" i="1"/>
  <c r="D22" i="1"/>
  <c r="D21" i="1"/>
  <c r="D20" i="1"/>
  <c r="D19" i="1"/>
  <c r="D18" i="1"/>
  <c r="D17" i="1"/>
  <c r="D16" i="1"/>
  <c r="C24" i="1"/>
  <c r="C22" i="1"/>
  <c r="C21" i="1"/>
  <c r="C20" i="1"/>
  <c r="C19" i="1"/>
  <c r="C18" i="1"/>
  <c r="C17" i="1"/>
  <c r="C16" i="1"/>
  <c r="B24" i="1"/>
  <c r="B23" i="1"/>
  <c r="B22" i="1"/>
  <c r="B21" i="1"/>
  <c r="B20" i="1"/>
  <c r="B19" i="1"/>
  <c r="B18" i="1"/>
  <c r="B17" i="1"/>
  <c r="B16" i="1"/>
  <c r="P15" i="1"/>
  <c r="P14" i="1"/>
  <c r="P17" i="1"/>
  <c r="P18" i="1"/>
  <c r="P19" i="1"/>
  <c r="P20" i="1"/>
  <c r="P21" i="1"/>
  <c r="P22" i="1"/>
  <c r="P23" i="1"/>
  <c r="P24" i="1"/>
  <c r="P16" i="1"/>
  <c r="B15" i="1"/>
</calcChain>
</file>

<file path=xl/sharedStrings.xml><?xml version="1.0" encoding="utf-8"?>
<sst xmlns="http://schemas.openxmlformats.org/spreadsheetml/2006/main" count="111" uniqueCount="69">
  <si>
    <t>Database</t>
  </si>
  <si>
    <t>lci-trails</t>
  </si>
  <si>
    <t>Activity</t>
  </si>
  <si>
    <t>marine freight service, temporal fuel transition</t>
  </si>
  <si>
    <t>reference product</t>
  </si>
  <si>
    <t>transport service</t>
  </si>
  <si>
    <t>location</t>
  </si>
  <si>
    <t>RER</t>
  </si>
  <si>
    <t>unit</t>
  </si>
  <si>
    <t>ton kilometer</t>
  </si>
  <si>
    <t>lifetime [year]</t>
  </si>
  <si>
    <t>comment</t>
  </si>
  <si>
    <t>Temporal case: gradual fuel transition from diesel to biomethanol across years, with year-specific matrix values driving fossil CO2, non-fossil CO2, and methane.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</si>
  <si>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</si>
  <si>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</si>
  <si>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</si>
  <si>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</si>
  <si>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</si>
  <si>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</si>
  <si>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</si>
  <si>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</si>
  <si>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</si>
  <si>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</si>
  <si>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temporal_offsets</t>
  </si>
  <si>
    <t>temporal_weights</t>
  </si>
  <si>
    <t>temporal_amount_source</t>
  </si>
  <si>
    <t>production</t>
  </si>
  <si>
    <t>Reference production exchange for marine transport service.</t>
  </si>
  <si>
    <t>market for diesel, low-sulfur</t>
  </si>
  <si>
    <t>Europe without Switzerland</t>
  </si>
  <si>
    <t>kilogram</t>
  </si>
  <si>
    <t>technosphere</t>
  </si>
  <si>
    <t>diesel, low-sulfur</t>
  </si>
  <si>
    <t>matrix</t>
  </si>
  <si>
    <t>Continuous annual diesel use over service life; scenario-year matrix values represent gradual fuel transition.</t>
  </si>
  <si>
    <t>market for methanol</t>
  </si>
  <si>
    <t>RER w/o RU</t>
  </si>
  <si>
    <t>methanol</t>
  </si>
  <si>
    <t>Continuous annual methanol use over service life; matrix values capture the gradual transition.</t>
  </si>
  <si>
    <t>market group for electricity, medium voltage</t>
  </si>
  <si>
    <t>kilowatt hour</t>
  </si>
  <si>
    <t>electricity, medium voltage</t>
  </si>
  <si>
    <t>Auxiliary electricity rises as fuel handling and onboard electrification increase.</t>
  </si>
  <si>
    <t>Carbon dioxide, fossil</t>
  </si>
  <si>
    <t>air::non-urban air or from high stacks</t>
  </si>
  <si>
    <t>biosphere</t>
  </si>
  <si>
    <t>Continuous fossil combustion emissions with a 1-year lag relative to fuel supply timing.</t>
  </si>
  <si>
    <t>Carbon dioxide, non-fossil</t>
  </si>
  <si>
    <t>Continuous biogenic combustion emissions with a 1-year lag relative to fuel supply timing.</t>
  </si>
  <si>
    <t>Methane, fossil</t>
  </si>
  <si>
    <t>Continuous methane slip/fuel-chain emissions during operation, represented uniformly over years.</t>
  </si>
  <si>
    <t>market for natural gas, high pressure</t>
  </si>
  <si>
    <t>RoW</t>
  </si>
  <si>
    <t>cubic meter</t>
  </si>
  <si>
    <t>natural gas, high pressure</t>
  </si>
  <si>
    <t>Continuous transitional gas demand over operation years before full methanol dominance.</t>
  </si>
  <si>
    <t>market for tap water</t>
  </si>
  <si>
    <t>tap water</t>
  </si>
  <si>
    <t>port</t>
  </si>
  <si>
    <t>Water for fuel preparation, scrubber operation, and periodic cleaning.</t>
  </si>
  <si>
    <t>Dinitrogen monoxide</t>
  </si>
  <si>
    <t>Small N2O component from marine combustion that decreases as combustion systems improve.</t>
  </si>
  <si>
    <t>total lifetime work [tkm]</t>
  </si>
  <si>
    <t>GLO</t>
  </si>
  <si>
    <t>container ship</t>
  </si>
  <si>
    <t>maintenance, container ship</t>
  </si>
  <si>
    <t>market for port facilities</t>
  </si>
  <si>
    <t>port facilities</t>
  </si>
  <si>
    <t>container ship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</si>
</sst>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43.33203125" customWidth="1"/>
    <col min="2" max="2" width="18.83203125" customWidth="1"/>
    <col min="15" max="15" width="12" bestFit="1" customWidth="1"/>
    <col min="16" max="16" width="12.1640625" bestFit="1" customWidth="1"/>
    <col min="17" max="17" width="13.83203125" bestFit="1" customWidth="1"/>
    <col min="18" max="18" width="14.83203125" bestFit="1" customWidth="1"/>
  </cols>
  <sheetData>
    <row r="1" spans="1:20" x14ac:dyDescent="0.2">
      <c r="A1" t="s">
        <v>0</v>
      </c>
      <c r="B1" t="s">
        <v>1</v>
      </c>
    </row>
    <row r="3" spans="1:20" x14ac:dyDescent="0.2">
      <c r="A3" t="s">
        <v>2</v>
      </c>
      <c r="B3" t="s">
        <v>3</v>
      </c>
    </row>
    <row r="4" spans="1:20" x14ac:dyDescent="0.2">
      <c r="A4" t="s">
        <v>4</v>
      </c>
      <c r="B4" t="s">
        <v>5</v>
      </c>
    </row>
    <row r="5" spans="1:20" x14ac:dyDescent="0.2">
      <c r="A5" t="s">
        <v>6</v>
      </c>
      <c r="B5" t="s">
        <v>7</v>
      </c>
    </row>
    <row r="6" spans="1:20" x14ac:dyDescent="0.2">
      <c r="A6" t="s">
        <v>8</v>
      </c>
      <c r="B6" t="s">
        <v>9</v>
      </c>
    </row>
    <row r="7" spans="1:20" x14ac:dyDescent="0.2">
      <c r="A7" t="s">
        <v>10</v>
      </c>
      <c r="B7">
        <v>25</v>
      </c>
    </row>
    <row r="8" spans="1:20" x14ac:dyDescent="0.2">
      <c r="A8" t="s">
        <v>62</v>
      </c>
      <c r="B8" s="1">
        <v>180000000000</v>
      </c>
    </row>
    <row r="9" spans="1:20" x14ac:dyDescent="0.2">
      <c r="A9" t="s">
        <v>11</v>
      </c>
      <c r="B9" t="s">
        <v>12</v>
      </c>
    </row>
    <row r="10" spans="1:20" x14ac:dyDescent="0.2">
      <c r="A10" t="s">
        <v>13</v>
      </c>
    </row>
    <row r="11" spans="1:20" x14ac:dyDescent="0.2">
      <c r="A11" t="s">
        <v>14</v>
      </c>
      <c r="B11" t="s">
        <v>15</v>
      </c>
      <c r="C11">
        <v>2020</v>
      </c>
      <c r="D11">
        <v>2040</v>
      </c>
      <c r="E11">
        <v>2060</v>
      </c>
      <c r="F11">
        <v>2080</v>
      </c>
      <c r="G11" t="s">
        <v>6</v>
      </c>
      <c r="H11" t="s">
        <v>16</v>
      </c>
      <c r="I11" t="s">
        <v>8</v>
      </c>
      <c r="J11" t="s">
        <v>17</v>
      </c>
      <c r="K11" t="s">
        <v>4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 t="s">
        <v>23</v>
      </c>
      <c r="R11" t="s">
        <v>24</v>
      </c>
      <c r="S11" t="s">
        <v>25</v>
      </c>
      <c r="T11" t="s">
        <v>11</v>
      </c>
    </row>
    <row r="12" spans="1:20" x14ac:dyDescent="0.2">
      <c r="A12" t="s">
        <v>3</v>
      </c>
      <c r="B12" s="1">
        <f>B8</f>
        <v>180000000000</v>
      </c>
      <c r="G12" t="s">
        <v>7</v>
      </c>
      <c r="I12" t="s">
        <v>9</v>
      </c>
      <c r="J12" t="s">
        <v>26</v>
      </c>
      <c r="K12" t="s">
        <v>5</v>
      </c>
      <c r="T12" t="s">
        <v>27</v>
      </c>
    </row>
    <row r="13" spans="1:20" x14ac:dyDescent="0.2">
      <c r="A13" t="s">
        <v>68</v>
      </c>
      <c r="B13" s="1">
        <v>1</v>
      </c>
      <c r="G13" t="s">
        <v>63</v>
      </c>
      <c r="I13" t="s">
        <v>8</v>
      </c>
      <c r="J13" t="s">
        <v>31</v>
      </c>
      <c r="K13" t="s">
        <v>64</v>
      </c>
      <c r="L13">
        <v>4</v>
      </c>
      <c r="O13">
        <v>-10</v>
      </c>
      <c r="P13">
        <v>-1</v>
      </c>
    </row>
    <row r="14" spans="1:20" x14ac:dyDescent="0.2">
      <c r="A14" t="s">
        <v>65</v>
      </c>
      <c r="B14" s="1">
        <v>1</v>
      </c>
      <c r="G14" t="s">
        <v>63</v>
      </c>
      <c r="I14" t="s">
        <v>8</v>
      </c>
      <c r="J14" t="s">
        <v>31</v>
      </c>
      <c r="K14" t="s">
        <v>65</v>
      </c>
      <c r="L14">
        <v>4</v>
      </c>
      <c r="O14">
        <v>0</v>
      </c>
      <c r="P14">
        <f>$B$7</f>
        <v>25</v>
      </c>
    </row>
    <row r="15" spans="1:20" x14ac:dyDescent="0.2">
      <c r="A15" t="s">
        <v>66</v>
      </c>
      <c r="B15" s="1">
        <f>0.000000000000000138*B8</f>
        <v>2.4839999999999999E-5</v>
      </c>
      <c r="G15" t="s">
        <v>63</v>
      </c>
      <c r="I15" t="s">
        <v>8</v>
      </c>
      <c r="J15" t="s">
        <v>31</v>
      </c>
      <c r="K15" t="s">
        <v>67</v>
      </c>
      <c r="L15">
        <v>4</v>
      </c>
      <c r="O15">
        <v>-40</v>
      </c>
      <c r="P15">
        <f>$B$7</f>
        <v>25</v>
      </c>
    </row>
    <row r="16" spans="1:20" x14ac:dyDescent="0.2">
      <c r="A16" t="s">
        <v>28</v>
      </c>
      <c r="B16" s="1">
        <f>0.036*B8</f>
        <v>6479999999.999999</v>
      </c>
      <c r="C16" s="1">
        <f>0.036*B8</f>
        <v>6479999999.999999</v>
      </c>
      <c r="D16" s="1">
        <f>0.023*B8</f>
        <v>4140000000</v>
      </c>
      <c r="E16" s="1">
        <f>0.009*B8</f>
        <v>1619999999.9999998</v>
      </c>
      <c r="F16" s="1">
        <f>0.0015*B8</f>
        <v>270000000</v>
      </c>
      <c r="G16" t="s">
        <v>29</v>
      </c>
      <c r="I16" t="s">
        <v>30</v>
      </c>
      <c r="J16" t="s">
        <v>31</v>
      </c>
      <c r="K16" t="s">
        <v>32</v>
      </c>
      <c r="L16">
        <v>4</v>
      </c>
      <c r="O16">
        <v>0</v>
      </c>
      <c r="P16">
        <f>$B$7</f>
        <v>25</v>
      </c>
      <c r="S16" t="s">
        <v>33</v>
      </c>
      <c r="T16" t="s">
        <v>34</v>
      </c>
    </row>
    <row r="17" spans="1:20" x14ac:dyDescent="0.2">
      <c r="A17" t="s">
        <v>35</v>
      </c>
      <c r="B17" s="1">
        <f>0.004*B8</f>
        <v>720000000</v>
      </c>
      <c r="C17" s="1">
        <f>0.004*B8</f>
        <v>720000000</v>
      </c>
      <c r="D17" s="1">
        <f>0.015*B8</f>
        <v>2700000000</v>
      </c>
      <c r="E17" s="1">
        <f>0.032*B8</f>
        <v>5760000000</v>
      </c>
      <c r="F17" s="1">
        <f>0.045*B8</f>
        <v>8100000000</v>
      </c>
      <c r="G17" t="s">
        <v>36</v>
      </c>
      <c r="I17" t="s">
        <v>30</v>
      </c>
      <c r="J17" t="s">
        <v>31</v>
      </c>
      <c r="K17" t="s">
        <v>37</v>
      </c>
      <c r="L17">
        <v>4</v>
      </c>
      <c r="O17">
        <v>0</v>
      </c>
      <c r="P17">
        <f t="shared" ref="P17:P24" si="0">$B$7</f>
        <v>25</v>
      </c>
      <c r="S17" t="s">
        <v>33</v>
      </c>
      <c r="T17" t="s">
        <v>38</v>
      </c>
    </row>
    <row r="18" spans="1:20" x14ac:dyDescent="0.2">
      <c r="A18" t="s">
        <v>39</v>
      </c>
      <c r="B18" s="1">
        <f>0.09*B8</f>
        <v>16200000000</v>
      </c>
      <c r="C18" s="1">
        <f>0.09*B8</f>
        <v>16200000000</v>
      </c>
      <c r="D18" s="1">
        <f>0.105*B8</f>
        <v>18900000000</v>
      </c>
      <c r="E18" s="1">
        <f>0.118*B8</f>
        <v>21240000000</v>
      </c>
      <c r="F18" s="1">
        <f>0.125*B8</f>
        <v>22500000000</v>
      </c>
      <c r="G18" t="s">
        <v>7</v>
      </c>
      <c r="I18" t="s">
        <v>40</v>
      </c>
      <c r="J18" t="s">
        <v>31</v>
      </c>
      <c r="K18" t="s">
        <v>41</v>
      </c>
      <c r="L18">
        <v>4</v>
      </c>
      <c r="O18">
        <v>0</v>
      </c>
      <c r="P18">
        <f t="shared" si="0"/>
        <v>25</v>
      </c>
      <c r="S18" t="s">
        <v>33</v>
      </c>
      <c r="T18" t="s">
        <v>42</v>
      </c>
    </row>
    <row r="19" spans="1:20" x14ac:dyDescent="0.2">
      <c r="A19" t="s">
        <v>43</v>
      </c>
      <c r="B19" s="1">
        <f>0.092*B8</f>
        <v>16560000000</v>
      </c>
      <c r="C19" s="1">
        <f>0.092*B8</f>
        <v>16560000000</v>
      </c>
      <c r="D19" s="1">
        <f>0.06*B8</f>
        <v>10800000000</v>
      </c>
      <c r="E19" s="1">
        <f>0.022*B8</f>
        <v>3960000000</v>
      </c>
      <c r="F19" s="1">
        <f>0.006*B8</f>
        <v>1080000000</v>
      </c>
      <c r="H19" t="s">
        <v>44</v>
      </c>
      <c r="I19" t="s">
        <v>30</v>
      </c>
      <c r="J19" t="s">
        <v>45</v>
      </c>
      <c r="L19">
        <v>4</v>
      </c>
      <c r="O19">
        <v>0</v>
      </c>
      <c r="P19">
        <f t="shared" si="0"/>
        <v>25</v>
      </c>
      <c r="S19" t="s">
        <v>33</v>
      </c>
      <c r="T19" t="s">
        <v>46</v>
      </c>
    </row>
    <row r="20" spans="1:20" x14ac:dyDescent="0.2">
      <c r="A20" t="s">
        <v>47</v>
      </c>
      <c r="B20" s="1">
        <f>0.006*B8</f>
        <v>1080000000</v>
      </c>
      <c r="C20" s="1">
        <f>0.006*B8</f>
        <v>1080000000</v>
      </c>
      <c r="D20" s="1">
        <f>0.03*B8</f>
        <v>5400000000</v>
      </c>
      <c r="E20" s="1">
        <f>0.074*B8</f>
        <v>13320000000</v>
      </c>
      <c r="F20" s="1">
        <f>0.105*B8</f>
        <v>18900000000</v>
      </c>
      <c r="H20" t="s">
        <v>44</v>
      </c>
      <c r="I20" t="s">
        <v>30</v>
      </c>
      <c r="J20" t="s">
        <v>45</v>
      </c>
      <c r="L20">
        <v>4</v>
      </c>
      <c r="O20">
        <v>0</v>
      </c>
      <c r="P20">
        <f t="shared" si="0"/>
        <v>25</v>
      </c>
      <c r="S20" t="s">
        <v>33</v>
      </c>
      <c r="T20" t="s">
        <v>48</v>
      </c>
    </row>
    <row r="21" spans="1:20" x14ac:dyDescent="0.2">
      <c r="A21" t="s">
        <v>49</v>
      </c>
      <c r="B21" s="1">
        <f>0.0009*B8</f>
        <v>162000000</v>
      </c>
      <c r="C21" s="1">
        <f>0.0009*B8</f>
        <v>162000000</v>
      </c>
      <c r="D21" s="1">
        <f>0.0014*B8</f>
        <v>252000000</v>
      </c>
      <c r="E21" s="1">
        <f>0.0012*B8</f>
        <v>215999999.99999997</v>
      </c>
      <c r="F21" s="1">
        <f>0.0008*B8</f>
        <v>144000000</v>
      </c>
      <c r="H21" t="s">
        <v>44</v>
      </c>
      <c r="I21" t="s">
        <v>30</v>
      </c>
      <c r="J21" t="s">
        <v>45</v>
      </c>
      <c r="L21">
        <v>4</v>
      </c>
      <c r="O21">
        <v>0</v>
      </c>
      <c r="P21">
        <f t="shared" si="0"/>
        <v>25</v>
      </c>
      <c r="S21" t="s">
        <v>33</v>
      </c>
      <c r="T21" t="s">
        <v>50</v>
      </c>
    </row>
    <row r="22" spans="1:20" x14ac:dyDescent="0.2">
      <c r="A22" t="s">
        <v>51</v>
      </c>
      <c r="B22" s="1">
        <f>0.004*B8</f>
        <v>720000000</v>
      </c>
      <c r="C22" s="1">
        <f>0.004*B8</f>
        <v>720000000</v>
      </c>
      <c r="D22" s="1">
        <f>0.008*B8</f>
        <v>1440000000</v>
      </c>
      <c r="E22" s="1">
        <f>0.006*B8</f>
        <v>1080000000</v>
      </c>
      <c r="F22" s="1">
        <f>0.003*B8</f>
        <v>540000000</v>
      </c>
      <c r="G22" t="s">
        <v>52</v>
      </c>
      <c r="I22" t="s">
        <v>53</v>
      </c>
      <c r="J22" t="s">
        <v>31</v>
      </c>
      <c r="K22" t="s">
        <v>54</v>
      </c>
      <c r="L22">
        <v>4</v>
      </c>
      <c r="O22">
        <v>0</v>
      </c>
      <c r="P22">
        <f t="shared" si="0"/>
        <v>25</v>
      </c>
      <c r="S22" t="s">
        <v>33</v>
      </c>
      <c r="T22" t="s">
        <v>55</v>
      </c>
    </row>
    <row r="23" spans="1:20" x14ac:dyDescent="0.2">
      <c r="A23" t="s">
        <v>56</v>
      </c>
      <c r="B23" s="1">
        <f>0.012*B8</f>
        <v>2160000000</v>
      </c>
      <c r="G23" t="s">
        <v>29</v>
      </c>
      <c r="I23" t="s">
        <v>30</v>
      </c>
      <c r="J23" t="s">
        <v>31</v>
      </c>
      <c r="K23" t="s">
        <v>57</v>
      </c>
      <c r="L23">
        <v>4</v>
      </c>
      <c r="O23">
        <v>0</v>
      </c>
      <c r="P23">
        <f t="shared" si="0"/>
        <v>25</v>
      </c>
      <c r="S23" t="s">
        <v>58</v>
      </c>
      <c r="T23" t="s">
        <v>59</v>
      </c>
    </row>
    <row r="24" spans="1:20" x14ac:dyDescent="0.2">
      <c r="A24" t="s">
        <v>60</v>
      </c>
      <c r="B24" s="1">
        <f>0.00012*B8</f>
        <v>21600000</v>
      </c>
      <c r="C24" s="1">
        <f>0.00012*B8</f>
        <v>21600000</v>
      </c>
      <c r="D24" s="1">
        <f>0.0001*B8</f>
        <v>18000000</v>
      </c>
      <c r="E24" s="1">
        <f>0.00009*B8</f>
        <v>16200000.000000002</v>
      </c>
      <c r="F24" s="1">
        <f>0.00008*B8</f>
        <v>14400000.000000002</v>
      </c>
      <c r="H24" t="s">
        <v>44</v>
      </c>
      <c r="I24" t="s">
        <v>30</v>
      </c>
      <c r="J24" t="s">
        <v>45</v>
      </c>
      <c r="L24">
        <v>4</v>
      </c>
      <c r="O24">
        <v>0</v>
      </c>
      <c r="P24">
        <f t="shared" si="0"/>
        <v>25</v>
      </c>
      <c r="S24" t="s">
        <v>33</v>
      </c>
      <c r="T2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 fuel 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2026-02-23T09:55:43Z</dcterms:created>
  <dcterms:modified xsi:type="dcterms:W3CDTF">2026-06-15T17:49:23Z</dcterms:modified>
</cp:coreProperties>
</file>